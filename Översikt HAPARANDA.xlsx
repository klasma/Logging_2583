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54858-2022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44884</v>
      </c>
      <c r="E2" s="1" t="n">
        <v>46222</v>
      </c>
      <c r="F2" t="inlineStr">
        <is>
          <t>NORRBOTTENS LÄN</t>
        </is>
      </c>
      <c r="G2" t="inlineStr">
        <is>
          <t>HAPARANDA</t>
        </is>
      </c>
      <c r="I2" t="n">
        <v>5.8</v>
      </c>
      <c r="J2" t="n">
        <v>1</v>
      </c>
      <c r="K2" t="n">
        <v>2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6</v>
      </c>
      <c r="T2" t="n">
        <v>26</v>
      </c>
      <c r="U2" s="2" t="inlineStr">
        <is>
          <t>Garnlav
Gammelgransskål
Vedskivlav
Nästlav
Vedticka
Revlummer</t>
        </is>
      </c>
      <c r="V2">
        <f>HYPERLINK("https://klasma.github.io/Logging_2583/artfynd/A 54858-2022 artfynd.xlsx", "A 54858-2022")</f>
        <v/>
      </c>
      <c r="W2">
        <f>HYPERLINK("https://klasma.github.io/Logging_2583/kartor/A 54858-2022 karta.png", "A 54858-2022")</f>
        <v/>
      </c>
      <c r="Y2">
        <f>HYPERLINK("https://klasma.github.io/Logging_2583/klagomål/A 54858-2022 FSC-klagomål.docx", "A 54858-2022")</f>
        <v/>
      </c>
      <c r="Z2">
        <f>HYPERLINK("https://klasma.github.io/Logging_2583/klagomålsmail/A 54858-2022 FSC-klagomål mail.docx", "A 54858-2022")</f>
        <v/>
      </c>
      <c r="AA2">
        <f>HYPERLINK("https://klasma.github.io/Logging_2583/tillsyn/A 54858-2022 tillsynsbegäran.docx", "A 54858-2022")</f>
        <v/>
      </c>
      <c r="AB2">
        <f>HYPERLINK("https://klasma.github.io/Logging_2583/tillsynsmail/A 54858-2022 tillsynsbegäran mail.docx", "A 54858-2022")</f>
        <v/>
      </c>
    </row>
    <row r="3" ht="15" customHeight="1">
      <c r="A3" t="inlineStr">
        <is>
          <t>A 1855-2025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45671</v>
      </c>
      <c r="E3" s="1" t="n">
        <v>46222</v>
      </c>
      <c r="F3" t="inlineStr">
        <is>
          <t>NORRBOTTENS LÄN</t>
        </is>
      </c>
      <c r="G3" t="inlineStr">
        <is>
          <t>HAPARANDA</t>
        </is>
      </c>
      <c r="I3" t="n">
        <v>4.2</v>
      </c>
      <c r="J3" t="n">
        <v>3</v>
      </c>
      <c r="K3" t="n">
        <v>2</v>
      </c>
      <c r="L3" t="n">
        <v>3</v>
      </c>
      <c r="M3" t="n">
        <v>1</v>
      </c>
      <c r="N3" t="n">
        <v>0</v>
      </c>
      <c r="O3" t="n">
        <v>0</v>
      </c>
      <c r="P3" t="n">
        <v>0</v>
      </c>
      <c r="Q3" t="n">
        <v>4</v>
      </c>
      <c r="R3" t="n">
        <v>1</v>
      </c>
      <c r="S3" t="n">
        <v>6</v>
      </c>
      <c r="T3" t="n">
        <v>7</v>
      </c>
      <c r="U3" s="2" t="inlineStr">
        <is>
          <t>Knärot
Gammelgransskål
Tretåig hackspett
Ullticka
Lappranunkel
Stuplav</t>
        </is>
      </c>
      <c r="V3">
        <f>HYPERLINK("https://klasma.github.io/Logging_2583/artfynd/A 1855-2025 artfynd.xlsx", "A 1855-2025")</f>
        <v/>
      </c>
      <c r="W3">
        <f>HYPERLINK("https://klasma.github.io/Logging_2583/kartor/A 1855-2025 karta.png", "A 1855-2025")</f>
        <v/>
      </c>
      <c r="X3">
        <f>HYPERLINK("https://klasma.github.io/Logging_2583/knärot/A 1855-2025 karta knärot.png", "A 1855-2025")</f>
        <v/>
      </c>
      <c r="Y3">
        <f>HYPERLINK("https://klasma.github.io/Logging_2583/klagomål/A 1855-2025 FSC-klagomål.docx", "A 1855-2025")</f>
        <v/>
      </c>
      <c r="Z3">
        <f>HYPERLINK("https://klasma.github.io/Logging_2583/klagomålsmail/A 1855-2025 FSC-klagomål mail.docx", "A 1855-2025")</f>
        <v/>
      </c>
      <c r="AA3">
        <f>HYPERLINK("https://klasma.github.io/Logging_2583/tillsyn/A 1855-2025 tillsynsbegäran.docx", "A 1855-2025")</f>
        <v/>
      </c>
      <c r="AB3">
        <f>HYPERLINK("https://klasma.github.io/Logging_2583/tillsynsmail/A 1855-2025 tillsynsbegäran mail.docx", "A 1855-2025")</f>
        <v/>
      </c>
      <c r="AC3">
        <f>HYPERLINK("https://klasma.github.io/Logging_2583/fåglar/A 1855-2025 prioriterade fågelarter.docx", "A 1855-2025")</f>
        <v/>
      </c>
    </row>
    <row r="4" ht="15" customHeight="1">
      <c r="A4" t="inlineStr">
        <is>
          <t>A 41136-2023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45173</v>
      </c>
      <c r="E4" s="1" t="n">
        <v>46222</v>
      </c>
      <c r="F4" t="inlineStr">
        <is>
          <t>NORRBOTTENS LÄN</t>
        </is>
      </c>
      <c r="G4" t="inlineStr">
        <is>
          <t>HAPARANDA</t>
        </is>
      </c>
      <c r="I4" t="n">
        <v>5.7</v>
      </c>
      <c r="J4" t="n">
        <v>1</v>
      </c>
      <c r="K4" t="n">
        <v>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6</v>
      </c>
      <c r="T4" t="n">
        <v>26</v>
      </c>
      <c r="U4" s="2" t="inlineStr">
        <is>
          <t>Garnlav
Gammelgransskål
Vedskivlav
Nästlav
Vedticka
Revlummer</t>
        </is>
      </c>
      <c r="V4">
        <f>HYPERLINK("https://klasma.github.io/Logging_2583/artfynd/A 41136-2023 artfynd.xlsx", "A 41136-2023")</f>
        <v/>
      </c>
      <c r="W4">
        <f>HYPERLINK("https://klasma.github.io/Logging_2583/kartor/A 41136-2023 karta.png", "A 41136-2023")</f>
        <v/>
      </c>
      <c r="Y4">
        <f>HYPERLINK("https://klasma.github.io/Logging_2583/klagomål/A 41136-2023 FSC-klagomål.docx", "A 41136-2023")</f>
        <v/>
      </c>
      <c r="Z4">
        <f>HYPERLINK("https://klasma.github.io/Logging_2583/klagomålsmail/A 41136-2023 FSC-klagomål mail.docx", "A 41136-2023")</f>
        <v/>
      </c>
      <c r="AA4">
        <f>HYPERLINK("https://klasma.github.io/Logging_2583/tillsyn/A 41136-2023 tillsynsbegäran.docx", "A 41136-2023")</f>
        <v/>
      </c>
      <c r="AB4">
        <f>HYPERLINK("https://klasma.github.io/Logging_2583/tillsynsmail/A 41136-2023 tillsynsbegäran mail.docx", "A 41136-2023")</f>
        <v/>
      </c>
    </row>
    <row r="5" ht="15" customHeight="1">
      <c r="A5" t="inlineStr">
        <is>
          <t>S 2429-2023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45113</v>
      </c>
      <c r="E5" s="1" t="n">
        <v>46222</v>
      </c>
      <c r="F5" t="inlineStr">
        <is>
          <t>NORRBOTTENS LÄN</t>
        </is>
      </c>
      <c r="G5" t="inlineStr">
        <is>
          <t>HAPARANDA</t>
        </is>
      </c>
      <c r="I5" t="n">
        <v>92.5</v>
      </c>
      <c r="J5" t="n">
        <v>2</v>
      </c>
      <c r="K5" t="n">
        <v>0</v>
      </c>
      <c r="L5" t="n">
        <v>1</v>
      </c>
      <c r="M5" t="n">
        <v>2</v>
      </c>
      <c r="N5" t="n">
        <v>0</v>
      </c>
      <c r="O5" t="n">
        <v>0</v>
      </c>
      <c r="P5" t="n">
        <v>0</v>
      </c>
      <c r="Q5" t="n">
        <v>3</v>
      </c>
      <c r="R5" t="n">
        <v>2</v>
      </c>
      <c r="S5" t="n">
        <v>3</v>
      </c>
      <c r="T5" t="n">
        <v>3</v>
      </c>
      <c r="U5" s="2" t="inlineStr">
        <is>
          <t>Rotfingersvamp
Tornseglare
Ladusvala</t>
        </is>
      </c>
      <c r="V5">
        <f>HYPERLINK("https://klasma.github.io/Logging_2583/artfynd/S 2429-2023 artfynd.xlsx", "S 2429-2023")</f>
        <v/>
      </c>
      <c r="W5">
        <f>HYPERLINK("https://klasma.github.io/Logging_2583/kartor/S 2429-2023 karta.png", "S 2429-2023")</f>
        <v/>
      </c>
      <c r="Y5">
        <f>HYPERLINK("https://klasma.github.io/Logging_2583/klagomål/S 2429-2023 FSC-klagomål.docx", "S 2429-2023")</f>
        <v/>
      </c>
      <c r="Z5">
        <f>HYPERLINK("https://klasma.github.io/Logging_2583/klagomålsmail/S 2429-2023 FSC-klagomål mail.docx", "S 2429-2023")</f>
        <v/>
      </c>
      <c r="AA5">
        <f>HYPERLINK("https://klasma.github.io/Logging_2583/tillsyn/S 2429-2023 tillsynsbegäran.docx", "S 2429-2023")</f>
        <v/>
      </c>
      <c r="AB5">
        <f>HYPERLINK("https://klasma.github.io/Logging_2583/tillsynsmail/S 2429-2023 tillsynsbegäran mail.docx", "S 2429-2023")</f>
        <v/>
      </c>
      <c r="AC5">
        <f>HYPERLINK("https://klasma.github.io/Logging_2583/fåglar/S 2429-2023 prioriterade fågelarter.docx", "S 2429-2023")</f>
        <v/>
      </c>
    </row>
    <row r="6" ht="15" customHeight="1">
      <c r="A6" t="inlineStr">
        <is>
          <t>A 63800-2023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45278</v>
      </c>
      <c r="E6" s="1" t="n">
        <v>46222</v>
      </c>
      <c r="F6" t="inlineStr">
        <is>
          <t>NORRBOTTENS LÄN</t>
        </is>
      </c>
      <c r="G6" t="inlineStr">
        <is>
          <t>HAPARANDA</t>
        </is>
      </c>
      <c r="I6" t="n">
        <v>5.1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s="2" t="inlineStr">
        <is>
          <t>Trana</t>
        </is>
      </c>
      <c r="V6">
        <f>HYPERLINK("https://klasma.github.io/Logging_2583/artfynd/A 63800-2023 artfynd.xlsx", "A 63800-2023")</f>
        <v/>
      </c>
      <c r="W6">
        <f>HYPERLINK("https://klasma.github.io/Logging_2583/kartor/A 63800-2023 karta.png", "A 63800-2023")</f>
        <v/>
      </c>
      <c r="Y6">
        <f>HYPERLINK("https://klasma.github.io/Logging_2583/klagomål/A 63800-2023 FSC-klagomål.docx", "A 63800-2023")</f>
        <v/>
      </c>
      <c r="Z6">
        <f>HYPERLINK("https://klasma.github.io/Logging_2583/klagomålsmail/A 63800-2023 FSC-klagomål mail.docx", "A 63800-2023")</f>
        <v/>
      </c>
      <c r="AA6">
        <f>HYPERLINK("https://klasma.github.io/Logging_2583/tillsyn/A 63800-2023 tillsynsbegäran.docx", "A 63800-2023")</f>
        <v/>
      </c>
      <c r="AB6">
        <f>HYPERLINK("https://klasma.github.io/Logging_2583/tillsynsmail/A 63800-2023 tillsynsbegäran mail.docx", "A 63800-2023")</f>
        <v/>
      </c>
      <c r="AC6">
        <f>HYPERLINK("https://klasma.github.io/Logging_2583/fåglar/A 63800-2023 prioriterade fågelarter.docx", "A 63800-2023")</f>
        <v/>
      </c>
    </row>
    <row r="7" ht="15" customHeight="1">
      <c r="A7" t="inlineStr">
        <is>
          <t>A 21714-2026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46149</v>
      </c>
      <c r="E7" s="1" t="n">
        <v>46222</v>
      </c>
      <c r="F7" t="inlineStr">
        <is>
          <t>NORRBOTTENS LÄN</t>
        </is>
      </c>
      <c r="G7" t="inlineStr">
        <is>
          <t>HAPARANDA</t>
        </is>
      </c>
      <c r="I7" t="n">
        <v>8.300000000000001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s="2" t="inlineStr">
        <is>
          <t>Rödvingetrast</t>
        </is>
      </c>
      <c r="V7">
        <f>HYPERLINK("https://klasma.github.io/Logging_2583/artfynd/A 21714-2026 artfynd.xlsx", "A 21714-2026")</f>
        <v/>
      </c>
      <c r="W7">
        <f>HYPERLINK("https://klasma.github.io/Logging_2583/kartor/A 21714-2026 karta.png", "A 21714-2026")</f>
        <v/>
      </c>
      <c r="Y7">
        <f>HYPERLINK("https://klasma.github.io/Logging_2583/klagomål/A 21714-2026 FSC-klagomål.docx", "A 21714-2026")</f>
        <v/>
      </c>
      <c r="Z7">
        <f>HYPERLINK("https://klasma.github.io/Logging_2583/klagomålsmail/A 21714-2026 FSC-klagomål mail.docx", "A 21714-2026")</f>
        <v/>
      </c>
      <c r="AA7">
        <f>HYPERLINK("https://klasma.github.io/Logging_2583/tillsyn/A 21714-2026 tillsynsbegäran.docx", "A 21714-2026")</f>
        <v/>
      </c>
      <c r="AB7">
        <f>HYPERLINK("https://klasma.github.io/Logging_2583/tillsynsmail/A 21714-2026 tillsynsbegäran mail.docx", "A 21714-2026")</f>
        <v/>
      </c>
      <c r="AC7">
        <f>HYPERLINK("https://klasma.github.io/Logging_2583/fåglar/A 21714-2026 prioriterade fågelarter.docx", "A 21714-2026")</f>
        <v/>
      </c>
    </row>
    <row r="8" ht="15" customHeight="1">
      <c r="A8" t="inlineStr">
        <is>
          <t>A 28542-2022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44748</v>
      </c>
      <c r="E8" s="1" t="n">
        <v>46222</v>
      </c>
      <c r="F8" t="inlineStr">
        <is>
          <t>NORRBOTTENS LÄN</t>
        </is>
      </c>
      <c r="G8" t="inlineStr">
        <is>
          <t>HAPARANDA</t>
        </is>
      </c>
      <c r="I8" t="n">
        <v>6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s="2" t="inlineStr"/>
    </row>
    <row r="9" ht="15" customHeight="1">
      <c r="A9" t="inlineStr">
        <is>
          <t>A 49284-2022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44861</v>
      </c>
      <c r="E9" s="1" t="n">
        <v>46222</v>
      </c>
      <c r="F9" t="inlineStr">
        <is>
          <t>NORRBOTTENS LÄN</t>
        </is>
      </c>
      <c r="G9" t="inlineStr">
        <is>
          <t>HAPARANDA</t>
        </is>
      </c>
      <c r="I9" t="n">
        <v>9.199999999999999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s="2" t="inlineStr"/>
    </row>
    <row r="10" ht="15" customHeight="1">
      <c r="A10" t="inlineStr">
        <is>
          <t>A 54653-2022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44883</v>
      </c>
      <c r="E10" s="1" t="n">
        <v>46222</v>
      </c>
      <c r="F10" t="inlineStr">
        <is>
          <t>NORRBOTTENS LÄN</t>
        </is>
      </c>
      <c r="G10" t="inlineStr">
        <is>
          <t>HAPARANDA</t>
        </is>
      </c>
      <c r="I10" t="n">
        <v>1.5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s="2" t="inlineStr"/>
    </row>
    <row r="11" ht="15" customHeight="1">
      <c r="A11" t="inlineStr">
        <is>
          <t>A 64083-2021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44509</v>
      </c>
      <c r="E11" s="1" t="n">
        <v>46222</v>
      </c>
      <c r="F11" t="inlineStr">
        <is>
          <t>NORRBOTTENS LÄN</t>
        </is>
      </c>
      <c r="G11" t="inlineStr">
        <is>
          <t>HAPARANDA</t>
        </is>
      </c>
      <c r="I11" t="n">
        <v>8.1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s="2" t="inlineStr"/>
    </row>
    <row r="12" ht="15" customHeight="1">
      <c r="A12" t="inlineStr">
        <is>
          <t>A 1052-2022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44571</v>
      </c>
      <c r="E12" s="1" t="n">
        <v>46222</v>
      </c>
      <c r="F12" t="inlineStr">
        <is>
          <t>NORRBOTTENS LÄN</t>
        </is>
      </c>
      <c r="G12" t="inlineStr">
        <is>
          <t>HAPARANDA</t>
        </is>
      </c>
      <c r="I12" t="n">
        <v>0.5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s="2" t="inlineStr"/>
    </row>
    <row r="13" ht="15" customHeight="1">
      <c r="A13" t="inlineStr">
        <is>
          <t>A 64085-2021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44509</v>
      </c>
      <c r="E13" s="1" t="n">
        <v>46222</v>
      </c>
      <c r="F13" t="inlineStr">
        <is>
          <t>NORRBOTTENS LÄN</t>
        </is>
      </c>
      <c r="G13" t="inlineStr">
        <is>
          <t>HAPARANDA</t>
        </is>
      </c>
      <c r="I13" t="n">
        <v>10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s="2" t="inlineStr"/>
    </row>
    <row r="14" ht="15" customHeight="1">
      <c r="A14" t="inlineStr">
        <is>
          <t>A 64088-2021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44509</v>
      </c>
      <c r="E14" s="1" t="n">
        <v>46222</v>
      </c>
      <c r="F14" t="inlineStr">
        <is>
          <t>NORRBOTTENS LÄN</t>
        </is>
      </c>
      <c r="G14" t="inlineStr">
        <is>
          <t>HAPARANDA</t>
        </is>
      </c>
      <c r="I14" t="n">
        <v>22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s="2" t="inlineStr"/>
    </row>
    <row r="15" ht="15" customHeight="1">
      <c r="A15" t="inlineStr">
        <is>
          <t>A 49245-2022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44861</v>
      </c>
      <c r="E15" s="1" t="n">
        <v>46222</v>
      </c>
      <c r="F15" t="inlineStr">
        <is>
          <t>NORRBOTTENS LÄN</t>
        </is>
      </c>
      <c r="G15" t="inlineStr">
        <is>
          <t>HAPARANDA</t>
        </is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s="2" t="inlineStr"/>
    </row>
    <row r="16" ht="15" customHeight="1">
      <c r="A16" t="inlineStr">
        <is>
          <t>A 30004-2022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44756</v>
      </c>
      <c r="E16" s="1" t="n">
        <v>46222</v>
      </c>
      <c r="F16" t="inlineStr">
        <is>
          <t>NORRBOTTENS LÄN</t>
        </is>
      </c>
      <c r="G16" t="inlineStr">
        <is>
          <t>HAPARANDA</t>
        </is>
      </c>
      <c r="I16" t="n">
        <v>1.2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s="2" t="inlineStr"/>
    </row>
    <row r="17" ht="15" customHeight="1">
      <c r="A17" t="inlineStr">
        <is>
          <t>A 52391-2021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44465</v>
      </c>
      <c r="E17" s="1" t="n">
        <v>46222</v>
      </c>
      <c r="F17" t="inlineStr">
        <is>
          <t>NORRBOTTENS LÄN</t>
        </is>
      </c>
      <c r="G17" t="inlineStr">
        <is>
          <t>HAPARANDA</t>
        </is>
      </c>
      <c r="I17" t="n">
        <v>9.1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s="2" t="inlineStr"/>
    </row>
    <row r="18" ht="15" customHeight="1">
      <c r="A18" t="inlineStr">
        <is>
          <t>A 54997-2022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44886</v>
      </c>
      <c r="E18" s="1" t="n">
        <v>46222</v>
      </c>
      <c r="F18" t="inlineStr">
        <is>
          <t>NORRBOTTENS LÄN</t>
        </is>
      </c>
      <c r="G18" t="inlineStr">
        <is>
          <t>HAPARANDA</t>
        </is>
      </c>
      <c r="I18" t="n">
        <v>6.3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s="2" t="inlineStr"/>
    </row>
    <row r="19" ht="15" customHeight="1">
      <c r="A19" t="inlineStr">
        <is>
          <t>A 54632-2022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44883</v>
      </c>
      <c r="E19" s="1" t="n">
        <v>46222</v>
      </c>
      <c r="F19" t="inlineStr">
        <is>
          <t>NORRBOTTENS LÄN</t>
        </is>
      </c>
      <c r="G19" t="inlineStr">
        <is>
          <t>HAPARANDA</t>
        </is>
      </c>
      <c r="I19" t="n">
        <v>2.2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30003-2022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44756</v>
      </c>
      <c r="E20" s="1" t="n">
        <v>46222</v>
      </c>
      <c r="F20" t="inlineStr">
        <is>
          <t>NORRBOTTENS LÄN</t>
        </is>
      </c>
      <c r="G20" t="inlineStr">
        <is>
          <t>HAPARANDA</t>
        </is>
      </c>
      <c r="I20" t="n">
        <v>1.2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47661-2022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44854</v>
      </c>
      <c r="E21" s="1" t="n">
        <v>46222</v>
      </c>
      <c r="F21" t="inlineStr">
        <is>
          <t>NORRBOTTENS LÄN</t>
        </is>
      </c>
      <c r="G21" t="inlineStr">
        <is>
          <t>HAPARANDA</t>
        </is>
      </c>
      <c r="I21" t="n">
        <v>9.9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60754-2021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44496</v>
      </c>
      <c r="E22" s="1" t="n">
        <v>46222</v>
      </c>
      <c r="F22" t="inlineStr">
        <is>
          <t>NORRBOTTENS LÄN</t>
        </is>
      </c>
      <c r="G22" t="inlineStr">
        <is>
          <t>HAPARANDA</t>
        </is>
      </c>
      <c r="I22" t="n">
        <v>0.8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71446-2021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44540</v>
      </c>
      <c r="E23" s="1" t="n">
        <v>46222</v>
      </c>
      <c r="F23" t="inlineStr">
        <is>
          <t>NORRBOTTENS LÄN</t>
        </is>
      </c>
      <c r="G23" t="inlineStr">
        <is>
          <t>HAPARANDA</t>
        </is>
      </c>
      <c r="I23" t="n">
        <v>1.9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9748-2025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45716</v>
      </c>
      <c r="E24" s="1" t="n">
        <v>46222</v>
      </c>
      <c r="F24" t="inlineStr">
        <is>
          <t>NORRBOTTENS LÄN</t>
        </is>
      </c>
      <c r="G24" t="inlineStr">
        <is>
          <t>HAPARANDA</t>
        </is>
      </c>
      <c r="I24" t="n">
        <v>3.8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41134-2023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45173</v>
      </c>
      <c r="E25" s="1" t="n">
        <v>46222</v>
      </c>
      <c r="F25" t="inlineStr">
        <is>
          <t>NORRBOTTENS LÄN</t>
        </is>
      </c>
      <c r="G25" t="inlineStr">
        <is>
          <t>HAPARANDA</t>
        </is>
      </c>
      <c r="I25" t="n">
        <v>3.8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41135-2023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45173</v>
      </c>
      <c r="E26" s="1" t="n">
        <v>46222</v>
      </c>
      <c r="F26" t="inlineStr">
        <is>
          <t>NORRBOTTENS LÄN</t>
        </is>
      </c>
      <c r="G26" t="inlineStr">
        <is>
          <t>HAPARANDA</t>
        </is>
      </c>
      <c r="I26" t="n">
        <v>0.9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16036-2024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45405</v>
      </c>
      <c r="E27" s="1" t="n">
        <v>46222</v>
      </c>
      <c r="F27" t="inlineStr">
        <is>
          <t>NORRBOTTENS LÄN</t>
        </is>
      </c>
      <c r="G27" t="inlineStr">
        <is>
          <t>HAPARANDA</t>
        </is>
      </c>
      <c r="I27" t="n">
        <v>1.5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31238-2023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45103</v>
      </c>
      <c r="E28" s="1" t="n">
        <v>46222</v>
      </c>
      <c r="F28" t="inlineStr">
        <is>
          <t>NORRBOTTENS LÄN</t>
        </is>
      </c>
      <c r="G28" t="inlineStr">
        <is>
          <t>HAPARANDA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58379-2022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44901</v>
      </c>
      <c r="E29" s="1" t="n">
        <v>46222</v>
      </c>
      <c r="F29" t="inlineStr">
        <is>
          <t>NORRBOTTENS LÄN</t>
        </is>
      </c>
      <c r="G29" t="inlineStr">
        <is>
          <t>HAPARANDA</t>
        </is>
      </c>
      <c r="I29" t="n">
        <v>12.1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52006-2022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44872</v>
      </c>
      <c r="E30" s="1" t="n">
        <v>46222</v>
      </c>
      <c r="F30" t="inlineStr">
        <is>
          <t>NORRBOTTENS LÄN</t>
        </is>
      </c>
      <c r="G30" t="inlineStr">
        <is>
          <t>HAPARANDA</t>
        </is>
      </c>
      <c r="I30" t="n">
        <v>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58953-2024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45636</v>
      </c>
      <c r="E31" s="1" t="n">
        <v>46222</v>
      </c>
      <c r="F31" t="inlineStr">
        <is>
          <t>NORRBOTTENS LÄN</t>
        </is>
      </c>
      <c r="G31" t="inlineStr">
        <is>
          <t>HAPARANDA</t>
        </is>
      </c>
      <c r="I31" t="n">
        <v>5.8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48383-2024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45590</v>
      </c>
      <c r="E32" s="1" t="n">
        <v>46222</v>
      </c>
      <c r="F32" t="inlineStr">
        <is>
          <t>NORRBOTTENS LÄN</t>
        </is>
      </c>
      <c r="G32" t="inlineStr">
        <is>
          <t>HAPARANDA</t>
        </is>
      </c>
      <c r="I32" t="n">
        <v>7.5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21979-2023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45068</v>
      </c>
      <c r="E33" s="1" t="n">
        <v>46222</v>
      </c>
      <c r="F33" t="inlineStr">
        <is>
          <t>NORRBOTTENS LÄN</t>
        </is>
      </c>
      <c r="G33" t="inlineStr">
        <is>
          <t>HAPARANDA</t>
        </is>
      </c>
      <c r="I33" t="n">
        <v>8.6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29319-2025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45824</v>
      </c>
      <c r="E34" s="1" t="n">
        <v>46222</v>
      </c>
      <c r="F34" t="inlineStr">
        <is>
          <t>NORRBOTTENS LÄN</t>
        </is>
      </c>
      <c r="G34" t="inlineStr">
        <is>
          <t>HAPARANDA</t>
        </is>
      </c>
      <c r="I34" t="n">
        <v>17.8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40100-2025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45894</v>
      </c>
      <c r="E35" s="1" t="n">
        <v>46222</v>
      </c>
      <c r="F35" t="inlineStr">
        <is>
          <t>NORRBOTTENS LÄN</t>
        </is>
      </c>
      <c r="G35" t="inlineStr">
        <is>
          <t>HAPARANDA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46296-2024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45581</v>
      </c>
      <c r="E36" s="1" t="n">
        <v>46222</v>
      </c>
      <c r="F36" t="inlineStr">
        <is>
          <t>NORRBOTTENS LÄN</t>
        </is>
      </c>
      <c r="G36" t="inlineStr">
        <is>
          <t>HAPARANDA</t>
        </is>
      </c>
      <c r="I36" t="n">
        <v>1.4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9488-2024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45359</v>
      </c>
      <c r="E37" s="1" t="n">
        <v>46222</v>
      </c>
      <c r="F37" t="inlineStr">
        <is>
          <t>NORRBOTTENS LÄN</t>
        </is>
      </c>
      <c r="G37" t="inlineStr">
        <is>
          <t>HAPARANDA</t>
        </is>
      </c>
      <c r="I37" t="n">
        <v>1.7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41946-2025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45903</v>
      </c>
      <c r="E38" s="1" t="n">
        <v>46222</v>
      </c>
      <c r="F38" t="inlineStr">
        <is>
          <t>NORRBOTTENS LÄN</t>
        </is>
      </c>
      <c r="G38" t="inlineStr">
        <is>
          <t>HAPARANDA</t>
        </is>
      </c>
      <c r="I38" t="n">
        <v>3.3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41945-2025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45903</v>
      </c>
      <c r="E39" s="1" t="n">
        <v>46222</v>
      </c>
      <c r="F39" t="inlineStr">
        <is>
          <t>NORRBOTTENS LÄN</t>
        </is>
      </c>
      <c r="G39" t="inlineStr">
        <is>
          <t>HAPARANDA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32033-2025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45835</v>
      </c>
      <c r="E40" s="1" t="n">
        <v>46222</v>
      </c>
      <c r="F40" t="inlineStr">
        <is>
          <t>NORRBOTTENS LÄN</t>
        </is>
      </c>
      <c r="G40" t="inlineStr">
        <is>
          <t>HAPARANDA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43215-2025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45910</v>
      </c>
      <c r="E41" s="1" t="n">
        <v>46222</v>
      </c>
      <c r="F41" t="inlineStr">
        <is>
          <t>NORRBOTTENS LÄN</t>
        </is>
      </c>
      <c r="G41" t="inlineStr">
        <is>
          <t>HAPARANDA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43003-2023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45180</v>
      </c>
      <c r="E42" s="1" t="n">
        <v>46222</v>
      </c>
      <c r="F42" t="inlineStr">
        <is>
          <t>NORRBOTTENS LÄN</t>
        </is>
      </c>
      <c r="G42" t="inlineStr">
        <is>
          <t>HAPARANDA</t>
        </is>
      </c>
      <c r="I42" t="n">
        <v>2.2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45356-2025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45922</v>
      </c>
      <c r="E43" s="1" t="n">
        <v>46222</v>
      </c>
      <c r="F43" t="inlineStr">
        <is>
          <t>NORRBOTTENS LÄN</t>
        </is>
      </c>
      <c r="G43" t="inlineStr">
        <is>
          <t>HAPARANDA</t>
        </is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45362-2025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45922</v>
      </c>
      <c r="E44" s="1" t="n">
        <v>46222</v>
      </c>
      <c r="F44" t="inlineStr">
        <is>
          <t>NORRBOTTENS LÄN</t>
        </is>
      </c>
      <c r="G44" t="inlineStr">
        <is>
          <t>HAPARANDA</t>
        </is>
      </c>
      <c r="I44" t="n">
        <v>1.6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45358-2025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45922</v>
      </c>
      <c r="E45" s="1" t="n">
        <v>46222</v>
      </c>
      <c r="F45" t="inlineStr">
        <is>
          <t>NORRBOTTENS LÄN</t>
        </is>
      </c>
      <c r="G45" t="inlineStr">
        <is>
          <t>HAPARANDA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46301-2024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45581</v>
      </c>
      <c r="E46" s="1" t="n">
        <v>46222</v>
      </c>
      <c r="F46" t="inlineStr">
        <is>
          <t>NORRBOTTENS LÄN</t>
        </is>
      </c>
      <c r="G46" t="inlineStr">
        <is>
          <t>HAPARANDA</t>
        </is>
      </c>
      <c r="I46" t="n">
        <v>0.8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59847-2024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45639</v>
      </c>
      <c r="E47" s="1" t="n">
        <v>46222</v>
      </c>
      <c r="F47" t="inlineStr">
        <is>
          <t>NORRBOTTENS LÄN</t>
        </is>
      </c>
      <c r="G47" t="inlineStr">
        <is>
          <t>HAPARANDA</t>
        </is>
      </c>
      <c r="I47" t="n">
        <v>10.3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48599-2025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45936</v>
      </c>
      <c r="E48" s="1" t="n">
        <v>46222</v>
      </c>
      <c r="F48" t="inlineStr">
        <is>
          <t>NORRBOTTENS LÄN</t>
        </is>
      </c>
      <c r="G48" t="inlineStr">
        <is>
          <t>HAPARANDA</t>
        </is>
      </c>
      <c r="I48" t="n">
        <v>1.8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57254-2021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44482</v>
      </c>
      <c r="E49" s="1" t="n">
        <v>46222</v>
      </c>
      <c r="F49" t="inlineStr">
        <is>
          <t>NORRBOTTENS LÄN</t>
        </is>
      </c>
      <c r="G49" t="inlineStr">
        <is>
          <t>HAPARANDA</t>
        </is>
      </c>
      <c r="I49" t="n">
        <v>5.4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61068-2024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45645</v>
      </c>
      <c r="E50" s="1" t="n">
        <v>46222</v>
      </c>
      <c r="F50" t="inlineStr">
        <is>
          <t>NORRBOTTENS LÄN</t>
        </is>
      </c>
      <c r="G50" t="inlineStr">
        <is>
          <t>HAPARANDA</t>
        </is>
      </c>
      <c r="I50" t="n">
        <v>10.5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50085-2025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45943</v>
      </c>
      <c r="E51" s="1" t="n">
        <v>46222</v>
      </c>
      <c r="F51" t="inlineStr">
        <is>
          <t>NORRBOTTENS LÄN</t>
        </is>
      </c>
      <c r="G51" t="inlineStr">
        <is>
          <t>HAPARANDA</t>
        </is>
      </c>
      <c r="I51" t="n">
        <v>3.6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50450-2025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45945</v>
      </c>
      <c r="E52" s="1" t="n">
        <v>46222</v>
      </c>
      <c r="F52" t="inlineStr">
        <is>
          <t>NORRBOTTENS LÄN</t>
        </is>
      </c>
      <c r="G52" t="inlineStr">
        <is>
          <t>HAPARANDA</t>
        </is>
      </c>
      <c r="I52" t="n">
        <v>7.7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50785-2025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45946</v>
      </c>
      <c r="E53" s="1" t="n">
        <v>46222</v>
      </c>
      <c r="F53" t="inlineStr">
        <is>
          <t>NORRBOTTENS LÄN</t>
        </is>
      </c>
      <c r="G53" t="inlineStr">
        <is>
          <t>HAPARANDA</t>
        </is>
      </c>
      <c r="I53" t="n">
        <v>8.5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50793-2025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45946</v>
      </c>
      <c r="E54" s="1" t="n">
        <v>46222</v>
      </c>
      <c r="F54" t="inlineStr">
        <is>
          <t>NORRBOTTENS LÄN</t>
        </is>
      </c>
      <c r="G54" t="inlineStr">
        <is>
          <t>HAPARANDA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29159-2022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44750</v>
      </c>
      <c r="E55" s="1" t="n">
        <v>46222</v>
      </c>
      <c r="F55" t="inlineStr">
        <is>
          <t>NORRBOTTENS LÄN</t>
        </is>
      </c>
      <c r="G55" t="inlineStr">
        <is>
          <t>HAPARANDA</t>
        </is>
      </c>
      <c r="H55" t="inlineStr">
        <is>
          <t>Kommuner</t>
        </is>
      </c>
      <c r="I55" t="n">
        <v>4.7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52322-2025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45953</v>
      </c>
      <c r="E56" s="1" t="n">
        <v>46222</v>
      </c>
      <c r="F56" t="inlineStr">
        <is>
          <t>NORRBOTTENS LÄN</t>
        </is>
      </c>
      <c r="G56" t="inlineStr">
        <is>
          <t>HAPARANDA</t>
        </is>
      </c>
      <c r="I56" t="n">
        <v>3.6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52331-2025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45953</v>
      </c>
      <c r="E57" s="1" t="n">
        <v>46222</v>
      </c>
      <c r="F57" t="inlineStr">
        <is>
          <t>NORRBOTTENS LÄN</t>
        </is>
      </c>
      <c r="G57" t="inlineStr">
        <is>
          <t>HAPARANDA</t>
        </is>
      </c>
      <c r="I57" t="n">
        <v>3.7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10074-2026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46073</v>
      </c>
      <c r="E58" s="1" t="n">
        <v>46222</v>
      </c>
      <c r="F58" t="inlineStr">
        <is>
          <t>NORRBOTTENS LÄN</t>
        </is>
      </c>
      <c r="G58" t="inlineStr">
        <is>
          <t>HAPARANDA</t>
        </is>
      </c>
      <c r="I58" t="n">
        <v>4.1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52192-2023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45217</v>
      </c>
      <c r="E59" s="1" t="n">
        <v>46222</v>
      </c>
      <c r="F59" t="inlineStr">
        <is>
          <t>NORRBOTTENS LÄN</t>
        </is>
      </c>
      <c r="G59" t="inlineStr">
        <is>
          <t>HAPARANDA</t>
        </is>
      </c>
      <c r="I59" t="n">
        <v>4.9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4317-2025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45685</v>
      </c>
      <c r="E60" s="1" t="n">
        <v>46222</v>
      </c>
      <c r="F60" t="inlineStr">
        <is>
          <t>NORRBOTTENS LÄN</t>
        </is>
      </c>
      <c r="G60" t="inlineStr">
        <is>
          <t>HAPARANDA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4323-2025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45685</v>
      </c>
      <c r="E61" s="1" t="n">
        <v>46222</v>
      </c>
      <c r="F61" t="inlineStr">
        <is>
          <t>NORRBOTTENS LÄN</t>
        </is>
      </c>
      <c r="G61" t="inlineStr">
        <is>
          <t>HAPARANDA</t>
        </is>
      </c>
      <c r="I61" t="n">
        <v>11.1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55192-2025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45968</v>
      </c>
      <c r="E62" s="1" t="n">
        <v>46222</v>
      </c>
      <c r="F62" t="inlineStr">
        <is>
          <t>NORRBOTTENS LÄN</t>
        </is>
      </c>
      <c r="G62" t="inlineStr">
        <is>
          <t>HAPARANDA</t>
        </is>
      </c>
      <c r="I62" t="n">
        <v>1.9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54856-2025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45966</v>
      </c>
      <c r="E63" s="1" t="n">
        <v>46222</v>
      </c>
      <c r="F63" t="inlineStr">
        <is>
          <t>NORRBOTTENS LÄN</t>
        </is>
      </c>
      <c r="G63" t="inlineStr">
        <is>
          <t>HAPARANDA</t>
        </is>
      </c>
      <c r="I63" t="n">
        <v>1.2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46301-2023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45197</v>
      </c>
      <c r="E64" s="1" t="n">
        <v>46222</v>
      </c>
      <c r="F64" t="inlineStr">
        <is>
          <t>NORRBOTTENS LÄN</t>
        </is>
      </c>
      <c r="G64" t="inlineStr">
        <is>
          <t>HAPARANDA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55861-2025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45973</v>
      </c>
      <c r="E65" s="1" t="n">
        <v>46222</v>
      </c>
      <c r="F65" t="inlineStr">
        <is>
          <t>NORRBOTTENS LÄN</t>
        </is>
      </c>
      <c r="G65" t="inlineStr">
        <is>
          <t>HAPARANDA</t>
        </is>
      </c>
      <c r="I65" t="n">
        <v>1.7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55875-2025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45973</v>
      </c>
      <c r="E66" s="1" t="n">
        <v>46222</v>
      </c>
      <c r="F66" t="inlineStr">
        <is>
          <t>NORRBOTTENS LÄN</t>
        </is>
      </c>
      <c r="G66" t="inlineStr">
        <is>
          <t>HAPARANDA</t>
        </is>
      </c>
      <c r="I66" t="n">
        <v>4.9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11285-2022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44629</v>
      </c>
      <c r="E67" s="1" t="n">
        <v>46222</v>
      </c>
      <c r="F67" t="inlineStr">
        <is>
          <t>NORRBOTTENS LÄN</t>
        </is>
      </c>
      <c r="G67" t="inlineStr">
        <is>
          <t>HAPARANDA</t>
        </is>
      </c>
      <c r="I67" t="n">
        <v>13.3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18855-2023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45044</v>
      </c>
      <c r="E68" s="1" t="n">
        <v>46222</v>
      </c>
      <c r="F68" t="inlineStr">
        <is>
          <t>NORRBOTTENS LÄN</t>
        </is>
      </c>
      <c r="G68" t="inlineStr">
        <is>
          <t>HAPARANDA</t>
        </is>
      </c>
      <c r="I68" t="n">
        <v>5.8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58624-2025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45986</v>
      </c>
      <c r="E69" s="1" t="n">
        <v>46222</v>
      </c>
      <c r="F69" t="inlineStr">
        <is>
          <t>NORRBOTTENS LÄN</t>
        </is>
      </c>
      <c r="G69" t="inlineStr">
        <is>
          <t>HAPARANDA</t>
        </is>
      </c>
      <c r="I69" t="n">
        <v>3.5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58943-2025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45987</v>
      </c>
      <c r="E70" s="1" t="n">
        <v>46222</v>
      </c>
      <c r="F70" t="inlineStr">
        <is>
          <t>NORRBOTTENS LÄN</t>
        </is>
      </c>
      <c r="G70" t="inlineStr">
        <is>
          <t>HAPARANDA</t>
        </is>
      </c>
      <c r="I70" t="n">
        <v>4.9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58851-2025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45987</v>
      </c>
      <c r="E71" s="1" t="n">
        <v>46222</v>
      </c>
      <c r="F71" t="inlineStr">
        <is>
          <t>NORRBOTTENS LÄN</t>
        </is>
      </c>
      <c r="G71" t="inlineStr">
        <is>
          <t>HAPARANDA</t>
        </is>
      </c>
      <c r="I71" t="n">
        <v>3.3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59478-2025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45989</v>
      </c>
      <c r="E72" s="1" t="n">
        <v>46222</v>
      </c>
      <c r="F72" t="inlineStr">
        <is>
          <t>NORRBOTTENS LÄN</t>
        </is>
      </c>
      <c r="G72" t="inlineStr">
        <is>
          <t>HAPARANDA</t>
        </is>
      </c>
      <c r="I72" t="n">
        <v>1.9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50257-2021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44458</v>
      </c>
      <c r="E73" s="1" t="n">
        <v>46222</v>
      </c>
      <c r="F73" t="inlineStr">
        <is>
          <t>NORRBOTTENS LÄN</t>
        </is>
      </c>
      <c r="G73" t="inlineStr">
        <is>
          <t>HAPARANDA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38510-2022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44813</v>
      </c>
      <c r="E74" s="1" t="n">
        <v>46222</v>
      </c>
      <c r="F74" t="inlineStr">
        <is>
          <t>NORRBOTTENS LÄN</t>
        </is>
      </c>
      <c r="G74" t="inlineStr">
        <is>
          <t>HAPARANDA</t>
        </is>
      </c>
      <c r="I74" t="n">
        <v>4.5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61607-2025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46002</v>
      </c>
      <c r="E75" s="1" t="n">
        <v>46222</v>
      </c>
      <c r="F75" t="inlineStr">
        <is>
          <t>NORRBOTTENS LÄN</t>
        </is>
      </c>
      <c r="G75" t="inlineStr">
        <is>
          <t>HAPARANDA</t>
        </is>
      </c>
      <c r="I75" t="n">
        <v>2.7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61626-2025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46002</v>
      </c>
      <c r="E76" s="1" t="n">
        <v>46222</v>
      </c>
      <c r="F76" t="inlineStr">
        <is>
          <t>NORRBOTTENS LÄN</t>
        </is>
      </c>
      <c r="G76" t="inlineStr">
        <is>
          <t>HAPARANDA</t>
        </is>
      </c>
      <c r="I76" t="n">
        <v>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49904-2024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45597</v>
      </c>
      <c r="E77" s="1" t="n">
        <v>46222</v>
      </c>
      <c r="F77" t="inlineStr">
        <is>
          <t>NORRBOTTENS LÄN</t>
        </is>
      </c>
      <c r="G77" t="inlineStr">
        <is>
          <t>HAPARANDA</t>
        </is>
      </c>
      <c r="I77" t="n">
        <v>1.6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61609-2025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46002</v>
      </c>
      <c r="E78" s="1" t="n">
        <v>46222</v>
      </c>
      <c r="F78" t="inlineStr">
        <is>
          <t>NORRBOTTENS LÄN</t>
        </is>
      </c>
      <c r="G78" t="inlineStr">
        <is>
          <t>HAPARANDA</t>
        </is>
      </c>
      <c r="I78" t="n">
        <v>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61623-2025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46002</v>
      </c>
      <c r="E79" s="1" t="n">
        <v>46222</v>
      </c>
      <c r="F79" t="inlineStr">
        <is>
          <t>NORRBOTTENS LÄN</t>
        </is>
      </c>
      <c r="G79" t="inlineStr">
        <is>
          <t>HAPARANDA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62326-2025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46006</v>
      </c>
      <c r="E80" s="1" t="n">
        <v>46222</v>
      </c>
      <c r="F80" t="inlineStr">
        <is>
          <t>NORRBOTTENS LÄN</t>
        </is>
      </c>
      <c r="G80" t="inlineStr">
        <is>
          <t>HAPARANDA</t>
        </is>
      </c>
      <c r="I80" t="n">
        <v>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63850-2023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45278</v>
      </c>
      <c r="E81" s="1" t="n">
        <v>46222</v>
      </c>
      <c r="F81" t="inlineStr">
        <is>
          <t>NORRBOTTENS LÄN</t>
        </is>
      </c>
      <c r="G81" t="inlineStr">
        <is>
          <t>HAPARANDA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62387-2025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46007</v>
      </c>
      <c r="E82" s="1" t="n">
        <v>46222</v>
      </c>
      <c r="F82" t="inlineStr">
        <is>
          <t>NORRBOTTENS LÄN</t>
        </is>
      </c>
      <c r="G82" t="inlineStr">
        <is>
          <t>HAPARANDA</t>
        </is>
      </c>
      <c r="I82" t="n">
        <v>4.2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62543-2025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46007</v>
      </c>
      <c r="E83" s="1" t="n">
        <v>46222</v>
      </c>
      <c r="F83" t="inlineStr">
        <is>
          <t>NORRBOTTENS LÄN</t>
        </is>
      </c>
      <c r="G83" t="inlineStr">
        <is>
          <t>HAPARANDA</t>
        </is>
      </c>
      <c r="I83" t="n">
        <v>3.9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62384-2025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46007</v>
      </c>
      <c r="E84" s="1" t="n">
        <v>46222</v>
      </c>
      <c r="F84" t="inlineStr">
        <is>
          <t>NORRBOTTENS LÄN</t>
        </is>
      </c>
      <c r="G84" t="inlineStr">
        <is>
          <t>HAPARANDA</t>
        </is>
      </c>
      <c r="I84" t="n">
        <v>10.2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62785-2025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46008</v>
      </c>
      <c r="E85" s="1" t="n">
        <v>46222</v>
      </c>
      <c r="F85" t="inlineStr">
        <is>
          <t>NORRBOTTENS LÄN</t>
        </is>
      </c>
      <c r="G85" t="inlineStr">
        <is>
          <t>HAPARANDA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62896-2025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46008</v>
      </c>
      <c r="E86" s="1" t="n">
        <v>46222</v>
      </c>
      <c r="F86" t="inlineStr">
        <is>
          <t>NORRBOTTENS LÄN</t>
        </is>
      </c>
      <c r="G86" t="inlineStr">
        <is>
          <t>HAPARANDA</t>
        </is>
      </c>
      <c r="I86" t="n">
        <v>0.3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1446-2024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45303</v>
      </c>
      <c r="E87" s="1" t="n">
        <v>46222</v>
      </c>
      <c r="F87" t="inlineStr">
        <is>
          <t>NORRBOTTENS LÄN</t>
        </is>
      </c>
      <c r="G87" t="inlineStr">
        <is>
          <t>HAPARANDA</t>
        </is>
      </c>
      <c r="I87" t="n">
        <v>1.8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10735-2024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45369</v>
      </c>
      <c r="E88" s="1" t="n">
        <v>46222</v>
      </c>
      <c r="F88" t="inlineStr">
        <is>
          <t>NORRBOTTENS LÄN</t>
        </is>
      </c>
      <c r="G88" t="inlineStr">
        <is>
          <t>HAPARANDA</t>
        </is>
      </c>
      <c r="I88" t="n">
        <v>12.4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3498-2023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44949</v>
      </c>
      <c r="E89" s="1" t="n">
        <v>46222</v>
      </c>
      <c r="F89" t="inlineStr">
        <is>
          <t>NORRBOTTENS LÄN</t>
        </is>
      </c>
      <c r="G89" t="inlineStr">
        <is>
          <t>HAPARANDA</t>
        </is>
      </c>
      <c r="I89" t="n">
        <v>7.6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63367-2025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46009</v>
      </c>
      <c r="E90" s="1" t="n">
        <v>46222</v>
      </c>
      <c r="F90" t="inlineStr">
        <is>
          <t>NORRBOTTENS LÄN</t>
        </is>
      </c>
      <c r="G90" t="inlineStr">
        <is>
          <t>HAPARANDA</t>
        </is>
      </c>
      <c r="I90" t="n">
        <v>0.4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63219-2021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44508</v>
      </c>
      <c r="E91" s="1" t="n">
        <v>46222</v>
      </c>
      <c r="F91" t="inlineStr">
        <is>
          <t>NORRBOTTENS LÄN</t>
        </is>
      </c>
      <c r="G91" t="inlineStr">
        <is>
          <t>HAPARANDA</t>
        </is>
      </c>
      <c r="I91" t="n">
        <v>1.8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34980-2023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45142</v>
      </c>
      <c r="E92" s="1" t="n">
        <v>46222</v>
      </c>
      <c r="F92" t="inlineStr">
        <is>
          <t>NORRBOTTENS LÄN</t>
        </is>
      </c>
      <c r="G92" t="inlineStr">
        <is>
          <t>HAPARANDA</t>
        </is>
      </c>
      <c r="I92" t="n">
        <v>4.3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1870-2025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45671</v>
      </c>
      <c r="E93" s="1" t="n">
        <v>46222</v>
      </c>
      <c r="F93" t="inlineStr">
        <is>
          <t>NORRBOTTENS LÄN</t>
        </is>
      </c>
      <c r="G93" t="inlineStr">
        <is>
          <t>HAPARANDA</t>
        </is>
      </c>
      <c r="I93" t="n">
        <v>5.1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51376-2024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45603</v>
      </c>
      <c r="E94" s="1" t="n">
        <v>46222</v>
      </c>
      <c r="F94" t="inlineStr">
        <is>
          <t>NORRBOTTENS LÄN</t>
        </is>
      </c>
      <c r="G94" t="inlineStr">
        <is>
          <t>HAPARANDA</t>
        </is>
      </c>
      <c r="I94" t="n">
        <v>2.8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61161-2022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44908</v>
      </c>
      <c r="E95" s="1" t="n">
        <v>46222</v>
      </c>
      <c r="F95" t="inlineStr">
        <is>
          <t>NORRBOTTENS LÄN</t>
        </is>
      </c>
      <c r="G95" t="inlineStr">
        <is>
          <t>HAPARANDA</t>
        </is>
      </c>
      <c r="I95" t="n">
        <v>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5498-2023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44957</v>
      </c>
      <c r="E96" s="1" t="n">
        <v>46222</v>
      </c>
      <c r="F96" t="inlineStr">
        <is>
          <t>NORRBOTTENS LÄN</t>
        </is>
      </c>
      <c r="G96" t="inlineStr">
        <is>
          <t>HAPARANDA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49907-2024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45597</v>
      </c>
      <c r="E97" s="1" t="n">
        <v>46222</v>
      </c>
      <c r="F97" t="inlineStr">
        <is>
          <t>NORRBOTTENS LÄN</t>
        </is>
      </c>
      <c r="G97" t="inlineStr">
        <is>
          <t>HAPARANDA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17564-2024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45415</v>
      </c>
      <c r="E98" s="1" t="n">
        <v>46222</v>
      </c>
      <c r="F98" t="inlineStr">
        <is>
          <t>NORRBOTTENS LÄN</t>
        </is>
      </c>
      <c r="G98" t="inlineStr">
        <is>
          <t>HAPARANDA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18413-2026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46126</v>
      </c>
      <c r="E99" s="1" t="n">
        <v>46222</v>
      </c>
      <c r="F99" t="inlineStr">
        <is>
          <t>NORRBOTTENS LÄN</t>
        </is>
      </c>
      <c r="G99" t="inlineStr">
        <is>
          <t>HAPARANDA</t>
        </is>
      </c>
      <c r="I99" t="n">
        <v>2.1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19135-2026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46132</v>
      </c>
      <c r="E100" s="1" t="n">
        <v>46222</v>
      </c>
      <c r="F100" t="inlineStr">
        <is>
          <t>NORRBOTTENS LÄN</t>
        </is>
      </c>
      <c r="G100" t="inlineStr">
        <is>
          <t>HAPARANDA</t>
        </is>
      </c>
      <c r="I100" t="n">
        <v>5.3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33439-2023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45129</v>
      </c>
      <c r="E101" s="1" t="n">
        <v>46222</v>
      </c>
      <c r="F101" t="inlineStr">
        <is>
          <t>NORRBOTTENS LÄN</t>
        </is>
      </c>
      <c r="G101" t="inlineStr">
        <is>
          <t>HAPARANDA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8836-2024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45355</v>
      </c>
      <c r="E102" s="1" t="n">
        <v>46222</v>
      </c>
      <c r="F102" t="inlineStr">
        <is>
          <t>NORRBOTTENS LÄN</t>
        </is>
      </c>
      <c r="G102" t="inlineStr">
        <is>
          <t>HAPARANDA</t>
        </is>
      </c>
      <c r="I102" t="n">
        <v>27.1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58950-2024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45636</v>
      </c>
      <c r="E103" s="1" t="n">
        <v>46222</v>
      </c>
      <c r="F103" t="inlineStr">
        <is>
          <t>NORRBOTTENS LÄN</t>
        </is>
      </c>
      <c r="G103" t="inlineStr">
        <is>
          <t>HAPARANDA</t>
        </is>
      </c>
      <c r="I103" t="n">
        <v>18.6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2477-2022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44579</v>
      </c>
      <c r="E104" s="1" t="n">
        <v>46222</v>
      </c>
      <c r="F104" t="inlineStr">
        <is>
          <t>NORRBOTTENS LÄN</t>
        </is>
      </c>
      <c r="G104" t="inlineStr">
        <is>
          <t>HAPARANDA</t>
        </is>
      </c>
      <c r="I104" t="n">
        <v>5.8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58981-2024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45636</v>
      </c>
      <c r="E105" s="1" t="n">
        <v>46222</v>
      </c>
      <c r="F105" t="inlineStr">
        <is>
          <t>NORRBOTTENS LÄN</t>
        </is>
      </c>
      <c r="G105" t="inlineStr">
        <is>
          <t>HAPARANDA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63369-2025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46009</v>
      </c>
      <c r="E106" s="1" t="n">
        <v>46222</v>
      </c>
      <c r="F106" t="inlineStr">
        <is>
          <t>NORRBOTTENS LÄN</t>
        </is>
      </c>
      <c r="G106" t="inlineStr">
        <is>
          <t>HAPARANDA</t>
        </is>
      </c>
      <c r="I106" t="n">
        <v>8.1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31242-2023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45103</v>
      </c>
      <c r="E107" s="1" t="n">
        <v>46222</v>
      </c>
      <c r="F107" t="inlineStr">
        <is>
          <t>NORRBOTTENS LÄN</t>
        </is>
      </c>
      <c r="G107" t="inlineStr">
        <is>
          <t>HAPARANDA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23982-2023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45078</v>
      </c>
      <c r="E108" s="1" t="n">
        <v>46222</v>
      </c>
      <c r="F108" t="inlineStr">
        <is>
          <t>NORRBOTTENS LÄN</t>
        </is>
      </c>
      <c r="G108" t="inlineStr">
        <is>
          <t>HAPARANDA</t>
        </is>
      </c>
      <c r="I108" t="n">
        <v>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36766-2025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45873</v>
      </c>
      <c r="E109" s="1" t="n">
        <v>46222</v>
      </c>
      <c r="F109" t="inlineStr">
        <is>
          <t>NORRBOTTENS LÄN</t>
        </is>
      </c>
      <c r="G109" t="inlineStr">
        <is>
          <t>HAPARANDA</t>
        </is>
      </c>
      <c r="I109" t="n">
        <v>6.9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3631-2022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44586</v>
      </c>
      <c r="E110" s="1" t="n">
        <v>46222</v>
      </c>
      <c r="F110" t="inlineStr">
        <is>
          <t>NORRBOTTENS LÄN</t>
        </is>
      </c>
      <c r="G110" t="inlineStr">
        <is>
          <t>HAPARANDA</t>
        </is>
      </c>
      <c r="I110" t="n">
        <v>7.9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9745-2025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45716</v>
      </c>
      <c r="E111" s="1" t="n">
        <v>46222</v>
      </c>
      <c r="F111" t="inlineStr">
        <is>
          <t>NORRBOTTENS LÄN</t>
        </is>
      </c>
      <c r="G111" t="inlineStr">
        <is>
          <t>HAPARANDA</t>
        </is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61075-2024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45645</v>
      </c>
      <c r="E112" s="1" t="n">
        <v>46222</v>
      </c>
      <c r="F112" t="inlineStr">
        <is>
          <t>NORRBOTTENS LÄN</t>
        </is>
      </c>
      <c r="G112" t="inlineStr">
        <is>
          <t>HAPARANDA</t>
        </is>
      </c>
      <c r="I112" t="n">
        <v>1.6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42547-2023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45181</v>
      </c>
      <c r="E113" s="1" t="n">
        <v>46222</v>
      </c>
      <c r="F113" t="inlineStr">
        <is>
          <t>NORRBOTTENS LÄN</t>
        </is>
      </c>
      <c r="G113" t="inlineStr">
        <is>
          <t>HAPARANDA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53257-2023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45229</v>
      </c>
      <c r="E114" s="1" t="n">
        <v>46222</v>
      </c>
      <c r="F114" t="inlineStr">
        <is>
          <t>NORRBOTTENS LÄN</t>
        </is>
      </c>
      <c r="G114" t="inlineStr">
        <is>
          <t>HAPARANDA</t>
        </is>
      </c>
      <c r="I114" t="n">
        <v>5.7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60214-2024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45642</v>
      </c>
      <c r="E115" s="1" t="n">
        <v>46222</v>
      </c>
      <c r="F115" t="inlineStr">
        <is>
          <t>NORRBOTTENS LÄN</t>
        </is>
      </c>
      <c r="G115" t="inlineStr">
        <is>
          <t>HAPARANDA</t>
        </is>
      </c>
      <c r="I115" t="n">
        <v>11.7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60219-2024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45642</v>
      </c>
      <c r="E116" s="1" t="n">
        <v>46222</v>
      </c>
      <c r="F116" t="inlineStr">
        <is>
          <t>NORRBOTTENS LÄN</t>
        </is>
      </c>
      <c r="G116" t="inlineStr">
        <is>
          <t>HAPARANDA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46305-2023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45191</v>
      </c>
      <c r="E117" s="1" t="n">
        <v>46222</v>
      </c>
      <c r="F117" t="inlineStr">
        <is>
          <t>NORRBOTTENS LÄN</t>
        </is>
      </c>
      <c r="G117" t="inlineStr">
        <is>
          <t>HAPARANDA</t>
        </is>
      </c>
      <c r="I117" t="n">
        <v>14.9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48630-2023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45208</v>
      </c>
      <c r="E118" s="1" t="n">
        <v>46222</v>
      </c>
      <c r="F118" t="inlineStr">
        <is>
          <t>NORRBOTTENS LÄN</t>
        </is>
      </c>
      <c r="G118" t="inlineStr">
        <is>
          <t>HAPARANDA</t>
        </is>
      </c>
      <c r="I118" t="n">
        <v>3.3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41009-2022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44817</v>
      </c>
      <c r="E119" s="1" t="n">
        <v>46222</v>
      </c>
      <c r="F119" t="inlineStr">
        <is>
          <t>NORRBOTTENS LÄN</t>
        </is>
      </c>
      <c r="G119" t="inlineStr">
        <is>
          <t>HAPARANDA</t>
        </is>
      </c>
      <c r="I119" t="n">
        <v>3.9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21179-2026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46146</v>
      </c>
      <c r="E120" s="1" t="n">
        <v>46222</v>
      </c>
      <c r="F120" t="inlineStr">
        <is>
          <t>NORRBOTTENS LÄN</t>
        </is>
      </c>
      <c r="G120" t="inlineStr">
        <is>
          <t>HAPARANDA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21205-2026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46146</v>
      </c>
      <c r="E121" s="1" t="n">
        <v>46222</v>
      </c>
      <c r="F121" t="inlineStr">
        <is>
          <t>NORRBOTTENS LÄN</t>
        </is>
      </c>
      <c r="G121" t="inlineStr">
        <is>
          <t>HAPARANDA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64139-2023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45279</v>
      </c>
      <c r="E122" s="1" t="n">
        <v>46222</v>
      </c>
      <c r="F122" t="inlineStr">
        <is>
          <t>NORRBOTTENS LÄN</t>
        </is>
      </c>
      <c r="G122" t="inlineStr">
        <is>
          <t>HAPARANDA</t>
        </is>
      </c>
      <c r="I122" t="n">
        <v>3.2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9738-2025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45716</v>
      </c>
      <c r="E123" s="1" t="n">
        <v>46222</v>
      </c>
      <c r="F123" t="inlineStr">
        <is>
          <t>NORRBOTTENS LÄN</t>
        </is>
      </c>
      <c r="G123" t="inlineStr">
        <is>
          <t>HAPARANDA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9739-2025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45716</v>
      </c>
      <c r="E124" s="1" t="n">
        <v>46222</v>
      </c>
      <c r="F124" t="inlineStr">
        <is>
          <t>NORRBOTTENS LÄN</t>
        </is>
      </c>
      <c r="G124" t="inlineStr">
        <is>
          <t>HAPARANDA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22352-2026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46154</v>
      </c>
      <c r="E125" s="1" t="n">
        <v>46222</v>
      </c>
      <c r="F125" t="inlineStr">
        <is>
          <t>NORRBOTTENS LÄN</t>
        </is>
      </c>
      <c r="G125" t="inlineStr">
        <is>
          <t>HAPARANDA</t>
        </is>
      </c>
      <c r="I125" t="n">
        <v>3.8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1849-2025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45671</v>
      </c>
      <c r="E126" s="1" t="n">
        <v>46222</v>
      </c>
      <c r="F126" t="inlineStr">
        <is>
          <t>NORRBOTTENS LÄN</t>
        </is>
      </c>
      <c r="G126" t="inlineStr">
        <is>
          <t>HAPARANDA</t>
        </is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60928-2022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44907</v>
      </c>
      <c r="E127" s="1" t="n">
        <v>46222</v>
      </c>
      <c r="F127" t="inlineStr">
        <is>
          <t>NORRBOTTENS LÄN</t>
        </is>
      </c>
      <c r="G127" t="inlineStr">
        <is>
          <t>HAPARANDA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61570-2023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45261</v>
      </c>
      <c r="E128" s="1" t="n">
        <v>46222</v>
      </c>
      <c r="F128" t="inlineStr">
        <is>
          <t>NORRBOTTENS LÄN</t>
        </is>
      </c>
      <c r="G128" t="inlineStr">
        <is>
          <t>HAPARANDA</t>
        </is>
      </c>
      <c r="I128" t="n">
        <v>9.199999999999999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33728-2024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45520</v>
      </c>
      <c r="E129" s="1" t="n">
        <v>46222</v>
      </c>
      <c r="F129" t="inlineStr">
        <is>
          <t>NORRBOTTENS LÄN</t>
        </is>
      </c>
      <c r="G129" t="inlineStr">
        <is>
          <t>HAPARANDA</t>
        </is>
      </c>
      <c r="I129" t="n">
        <v>2.7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56366-2025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45974</v>
      </c>
      <c r="E130" s="1" t="n">
        <v>46222</v>
      </c>
      <c r="F130" t="inlineStr">
        <is>
          <t>NORRBOTTENS LÄN</t>
        </is>
      </c>
      <c r="G130" t="inlineStr">
        <is>
          <t>HAPARANDA</t>
        </is>
      </c>
      <c r="I130" t="n">
        <v>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22512-2026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46155</v>
      </c>
      <c r="E131" s="1" t="n">
        <v>46222</v>
      </c>
      <c r="F131" t="inlineStr">
        <is>
          <t>NORRBOTTENS LÄN</t>
        </is>
      </c>
      <c r="G131" t="inlineStr">
        <is>
          <t>HAPARANDA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29093-2026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46200</v>
      </c>
      <c r="E132" s="1" t="n">
        <v>46222</v>
      </c>
      <c r="F132" t="inlineStr">
        <is>
          <t>NORRBOTTENS LÄN</t>
        </is>
      </c>
      <c r="G132" t="inlineStr">
        <is>
          <t>HAPARANDA</t>
        </is>
      </c>
      <c r="I132" t="n">
        <v>2.1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60064-2022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44902</v>
      </c>
      <c r="E133" s="1" t="n">
        <v>46222</v>
      </c>
      <c r="F133" t="inlineStr">
        <is>
          <t>NORRBOTTENS LÄN</t>
        </is>
      </c>
      <c r="G133" t="inlineStr">
        <is>
          <t>HAPARANDA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49902-2024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45597</v>
      </c>
      <c r="E134" s="1" t="n">
        <v>46222</v>
      </c>
      <c r="F134" t="inlineStr">
        <is>
          <t>NORRBOTTENS LÄN</t>
        </is>
      </c>
      <c r="G134" t="inlineStr">
        <is>
          <t>HAPARANDA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52000-2021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44463</v>
      </c>
      <c r="E135" s="1" t="n">
        <v>46222</v>
      </c>
      <c r="F135" t="inlineStr">
        <is>
          <t>NORRBOTTENS LÄN</t>
        </is>
      </c>
      <c r="G135" t="inlineStr">
        <is>
          <t>HAPARANDA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23484-2023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45076</v>
      </c>
      <c r="E136" s="1" t="n">
        <v>46222</v>
      </c>
      <c r="F136" t="inlineStr">
        <is>
          <t>NORRBOTTENS LÄN</t>
        </is>
      </c>
      <c r="G136" t="inlineStr">
        <is>
          <t>HAPARANDA</t>
        </is>
      </c>
      <c r="I136" t="n">
        <v>10.5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31236-2023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45103</v>
      </c>
      <c r="E137" s="1" t="n">
        <v>46222</v>
      </c>
      <c r="F137" t="inlineStr">
        <is>
          <t>NORRBOTTENS LÄN</t>
        </is>
      </c>
      <c r="G137" t="inlineStr">
        <is>
          <t>HAPARANDA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56356-2025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45974</v>
      </c>
      <c r="E138" s="1" t="n">
        <v>46222</v>
      </c>
      <c r="F138" t="inlineStr">
        <is>
          <t>NORRBOTTENS LÄN</t>
        </is>
      </c>
      <c r="G138" t="inlineStr">
        <is>
          <t>HAPARANDA</t>
        </is>
      </c>
      <c r="I138" t="n">
        <v>2.6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59686-2023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45256</v>
      </c>
      <c r="E139" s="1" t="n">
        <v>46222</v>
      </c>
      <c r="F139" t="inlineStr">
        <is>
          <t>NORRBOTTENS LÄN</t>
        </is>
      </c>
      <c r="G139" t="inlineStr">
        <is>
          <t>HAPARANDA</t>
        </is>
      </c>
      <c r="I139" t="n">
        <v>1.6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30289-2026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46206</v>
      </c>
      <c r="E140" s="1" t="n">
        <v>46222</v>
      </c>
      <c r="F140" t="inlineStr">
        <is>
          <t>NORRBOTTENS LÄN</t>
        </is>
      </c>
      <c r="G140" t="inlineStr">
        <is>
          <t>HAPARANDA</t>
        </is>
      </c>
      <c r="I140" t="n">
        <v>2.3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63368-2025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46009</v>
      </c>
      <c r="E141" s="1" t="n">
        <v>46222</v>
      </c>
      <c r="F141" t="inlineStr">
        <is>
          <t>NORRBOTTENS LÄN</t>
        </is>
      </c>
      <c r="G141" t="inlineStr">
        <is>
          <t>HAPARANDA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25164-2024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45462</v>
      </c>
      <c r="E142" s="1" t="n">
        <v>46222</v>
      </c>
      <c r="F142" t="inlineStr">
        <is>
          <t>NORRBOTTENS LÄN</t>
        </is>
      </c>
      <c r="G142" t="inlineStr">
        <is>
          <t>HAPARANDA</t>
        </is>
      </c>
      <c r="I142" t="n">
        <v>11.1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56374-2025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45974</v>
      </c>
      <c r="E143" s="1" t="n">
        <v>46222</v>
      </c>
      <c r="F143" t="inlineStr">
        <is>
          <t>NORRBOTTENS LÄN</t>
        </is>
      </c>
      <c r="G143" t="inlineStr">
        <is>
          <t>HAPARANDA</t>
        </is>
      </c>
      <c r="I143" t="n">
        <v>15.3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60217-2024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45642</v>
      </c>
      <c r="E144" s="1" t="n">
        <v>46222</v>
      </c>
      <c r="F144" t="inlineStr">
        <is>
          <t>NORRBOTTENS LÄN</t>
        </is>
      </c>
      <c r="G144" t="inlineStr">
        <is>
          <t>HAPARANDA</t>
        </is>
      </c>
      <c r="I144" t="n">
        <v>2.3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18652-2024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45425</v>
      </c>
      <c r="E145" s="1" t="n">
        <v>46222</v>
      </c>
      <c r="F145" t="inlineStr">
        <is>
          <t>NORRBOTTENS LÄN</t>
        </is>
      </c>
      <c r="G145" t="inlineStr">
        <is>
          <t>HAPARANDA</t>
        </is>
      </c>
      <c r="H145" t="inlineStr">
        <is>
          <t>Kommuner</t>
        </is>
      </c>
      <c r="I145" t="n">
        <v>13.9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39893-2024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45553</v>
      </c>
      <c r="E146" s="1" t="n">
        <v>46222</v>
      </c>
      <c r="F146" t="inlineStr">
        <is>
          <t>NORRBOTTENS LÄN</t>
        </is>
      </c>
      <c r="G146" t="inlineStr">
        <is>
          <t>HAPARANDA</t>
        </is>
      </c>
      <c r="I146" t="n">
        <v>11.7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6806-2025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45700</v>
      </c>
      <c r="E147" s="1" t="n">
        <v>46222</v>
      </c>
      <c r="F147" t="inlineStr">
        <is>
          <t>NORRBOTTENS LÄN</t>
        </is>
      </c>
      <c r="G147" t="inlineStr">
        <is>
          <t>HAPARANDA</t>
        </is>
      </c>
      <c r="I147" t="n">
        <v>2.4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16030-2024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45405</v>
      </c>
      <c r="E148" s="1" t="n">
        <v>46222</v>
      </c>
      <c r="F148" t="inlineStr">
        <is>
          <t>NORRBOTTENS LÄN</t>
        </is>
      </c>
      <c r="G148" t="inlineStr">
        <is>
          <t>HAPARANDA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16035-2024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45405</v>
      </c>
      <c r="E149" s="1" t="n">
        <v>46222</v>
      </c>
      <c r="F149" t="inlineStr">
        <is>
          <t>NORRBOTTENS LÄN</t>
        </is>
      </c>
      <c r="G149" t="inlineStr">
        <is>
          <t>HAPARANDA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53290-2023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45229</v>
      </c>
      <c r="E150" s="1" t="n">
        <v>46222</v>
      </c>
      <c r="F150" t="inlineStr">
        <is>
          <t>NORRBOTTENS LÄN</t>
        </is>
      </c>
      <c r="G150" t="inlineStr">
        <is>
          <t>HAPARANDA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30141-2023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45099</v>
      </c>
      <c r="E151" s="1" t="n">
        <v>46222</v>
      </c>
      <c r="F151" t="inlineStr">
        <is>
          <t>NORRBOTTENS LÄN</t>
        </is>
      </c>
      <c r="G151" t="inlineStr">
        <is>
          <t>HAPARANDA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52735-2024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45610</v>
      </c>
      <c r="E152" s="1" t="n">
        <v>46222</v>
      </c>
      <c r="F152" t="inlineStr">
        <is>
          <t>NORRBOTTENS LÄN</t>
        </is>
      </c>
      <c r="G152" t="inlineStr">
        <is>
          <t>HAPARANDA</t>
        </is>
      </c>
      <c r="I152" t="n">
        <v>2.3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277-2023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44928</v>
      </c>
      <c r="E153" s="1" t="n">
        <v>46222</v>
      </c>
      <c r="F153" t="inlineStr">
        <is>
          <t>NORRBOTTENS LÄN</t>
        </is>
      </c>
      <c r="G153" t="inlineStr">
        <is>
          <t>HAPARANDA</t>
        </is>
      </c>
      <c r="I153" t="n">
        <v>3.1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20727-2025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45776</v>
      </c>
      <c r="E154" s="1" t="n">
        <v>46222</v>
      </c>
      <c r="F154" t="inlineStr">
        <is>
          <t>NORRBOTTENS LÄN</t>
        </is>
      </c>
      <c r="G154" t="inlineStr">
        <is>
          <t>HAPARANDA</t>
        </is>
      </c>
      <c r="I154" t="n">
        <v>8.4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56024-2022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44889</v>
      </c>
      <c r="E155" s="1" t="n">
        <v>46222</v>
      </c>
      <c r="F155" t="inlineStr">
        <is>
          <t>NORRBOTTENS LÄN</t>
        </is>
      </c>
      <c r="G155" t="inlineStr">
        <is>
          <t>HAPARANDA</t>
        </is>
      </c>
      <c r="I155" t="n">
        <v>7.3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22703-2025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45789</v>
      </c>
      <c r="E156" s="1" t="n">
        <v>46222</v>
      </c>
      <c r="F156" t="inlineStr">
        <is>
          <t>NORRBOTTENS LÄN</t>
        </is>
      </c>
      <c r="G156" t="inlineStr">
        <is>
          <t>HAPARANDA</t>
        </is>
      </c>
      <c r="I156" t="n">
        <v>5.7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22697-2025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45789</v>
      </c>
      <c r="E157" s="1" t="n">
        <v>46222</v>
      </c>
      <c r="F157" t="inlineStr">
        <is>
          <t>NORRBOTTENS LÄN</t>
        </is>
      </c>
      <c r="G157" t="inlineStr">
        <is>
          <t>HAPARANDA</t>
        </is>
      </c>
      <c r="I157" t="n">
        <v>5.5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24120-2025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45796</v>
      </c>
      <c r="E158" s="1" t="n">
        <v>46222</v>
      </c>
      <c r="F158" t="inlineStr">
        <is>
          <t>NORRBOTTENS LÄN</t>
        </is>
      </c>
      <c r="G158" t="inlineStr">
        <is>
          <t>HAPARANDA</t>
        </is>
      </c>
      <c r="I158" t="n">
        <v>10.9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49007-2023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45209</v>
      </c>
      <c r="E159" s="1" t="n">
        <v>46222</v>
      </c>
      <c r="F159" t="inlineStr">
        <is>
          <t>NORRBOTTENS LÄN</t>
        </is>
      </c>
      <c r="G159" t="inlineStr">
        <is>
          <t>HAPARANDA</t>
        </is>
      </c>
      <c r="I159" t="n">
        <v>2.2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45575-2024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45579</v>
      </c>
      <c r="E160" s="1" t="n">
        <v>46222</v>
      </c>
      <c r="F160" t="inlineStr">
        <is>
          <t>NORRBOTTENS LÄN</t>
        </is>
      </c>
      <c r="G160" t="inlineStr">
        <is>
          <t>HAPARANDA</t>
        </is>
      </c>
      <c r="I160" t="n">
        <v>1.8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>
      <c r="A161" t="inlineStr">
        <is>
          <t>S 1664-2025</t>
        </is>
      </c>
      <c r="B161" t="inlineStr">
        <is>
          <t>samrådsanmälan</t>
        </is>
      </c>
      <c r="C161" t="inlineStr">
        <is>
          <t>Annan skogsbruksåtgärd</t>
        </is>
      </c>
      <c r="D161" s="1" t="n">
        <v>45803</v>
      </c>
      <c r="E161" s="1" t="n">
        <v>46222</v>
      </c>
      <c r="F161" t="inlineStr">
        <is>
          <t>NORRBOTTENS LÄN</t>
        </is>
      </c>
      <c r="G161" t="inlineStr">
        <is>
          <t>HAPARANDA</t>
        </is>
      </c>
      <c r="I161" t="n">
        <v>7.8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2026-07-19T01:33:52Z</dcterms:created>
  <dcterms:modified xmlns:dcterms="http://purl.org/dc/terms/" xmlns:xsi="http://www.w3.org/2001/XMLSchema-instance" xsi:type="dcterms:W3CDTF">2026-07-19T01:33:52Z</dcterms:modified>
</cp:coreProperties>
</file>
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46221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s="2" t="inlineStr">
        <is>
          <t>Garnlav
Gammelgransskål
Vedskivlav
Nästlav
Vedticka
Revlummer</t>
        </is>
      </c>
      <c r="V2">
        <f>HYPERLINK("https://klasma.github.io/Logging_2583/artfynd/A 54858-2022 artfynd.xlsx", "A 54858-2022")</f>
        <v/>
      </c>
      <c r="W2">
        <f>HYPERLINK("https://klasma.github.io/Logging_2583/kartor/A 54858-2022 karta.png", "A 54858-2022")</f>
        <v/>
      </c>
      <c r="Y2">
        <f>HYPERLINK("https://klasma.github.io/Logging_2583/klagomål/A 54858-2022 FSC-klagomål.docx", "A 54858-2022")</f>
        <v/>
      </c>
      <c r="Z2">
        <f>HYPERLINK("https://klasma.github.io/Logging_2583/klagomålsmail/A 54858-2022 FSC-klagomål mail.docx", "A 54858-2022")</f>
        <v/>
      </c>
      <c r="AA2">
        <f>HYPERLINK("https://klasma.github.io/Logging_2583/tillsyn/A 54858-2022 tillsynsbegäran.docx", "A 54858-2022")</f>
        <v/>
      </c>
      <c r="AB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46221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s="2" t="inlineStr">
        <is>
          <t>Knärot
Gammelgransskål
Tretåig hackspett
Ullticka
Lappranunkel
Stuplav</t>
        </is>
      </c>
      <c r="V3">
        <f>HYPERLINK("https://klasma.github.io/Logging_2583/artfynd/A 1855-2025 artfynd.xlsx", "A 1855-2025")</f>
        <v/>
      </c>
      <c r="W3">
        <f>HYPERLINK("https://klasma.github.io/Logging_2583/kartor/A 1855-2025 karta.png", "A 1855-2025")</f>
        <v/>
      </c>
      <c r="X3">
        <f>HYPERLINK("https://klasma.github.io/Logging_2583/knärot/A 1855-2025 karta knärot.png", "A 1855-2025")</f>
        <v/>
      </c>
      <c r="Y3">
        <f>HYPERLINK("https://klasma.github.io/Logging_2583/klagomål/A 1855-2025 FSC-klagomål.docx", "A 1855-2025")</f>
        <v/>
      </c>
      <c r="Z3">
        <f>HYPERLINK("https://klasma.github.io/Logging_2583/klagomålsmail/A 1855-2025 FSC-klagomål mail.docx", "A 1855-2025")</f>
        <v/>
      </c>
      <c r="AA3">
        <f>HYPERLINK("https://klasma.github.io/Logging_2583/tillsyn/A 1855-2025 tillsynsbegäran.docx", "A 1855-2025")</f>
        <v/>
      </c>
      <c r="AB3">
        <f>HYPERLINK("https://klasma.github.io/Logging_2583/tillsynsmail/A 1855-2025 tillsynsbegäran mail.docx", "A 1855-2025")</f>
        <v/>
      </c>
      <c r="AC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46221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s="2" t="inlineStr">
        <is>
          <t>Garnlav
Gammelgransskål
Vedskivlav
Nästlav
Vedticka
Revlummer</t>
        </is>
      </c>
      <c r="V4">
        <f>HYPERLINK("https://klasma.github.io/Logging_2583/artfynd/A 41136-2023 artfynd.xlsx", "A 41136-2023")</f>
        <v/>
      </c>
      <c r="W4">
        <f>HYPERLINK("https://klasma.github.io/Logging_2583/kartor/A 41136-2023 karta.png", "A 41136-2023")</f>
        <v/>
      </c>
      <c r="Y4">
        <f>HYPERLINK("https://klasma.github.io/Logging_2583/klagomål/A 41136-2023 FSC-klagomål.docx", "A 41136-2023")</f>
        <v/>
      </c>
      <c r="Z4">
        <f>HYPERLINK("https://klasma.github.io/Logging_2583/klagomålsmail/A 41136-2023 FSC-klagomål mail.docx", "A 41136-2023")</f>
        <v/>
      </c>
      <c r="AA4">
        <f>HYPERLINK("https://klasma.github.io/Logging_2583/tillsyn/A 41136-2023 tillsynsbegäran.docx", "A 41136-2023")</f>
        <v/>
      </c>
      <c r="AB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46221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s="2" t="inlineStr">
        <is>
          <t>Rotfingersvamp
Tornseglare
Ladusvala</t>
        </is>
      </c>
      <c r="V5">
        <f>HYPERLINK("https://klasma.github.io/Logging_2583/artfynd/S 2429-2023 artfynd.xlsx", "S 2429-2023")</f>
        <v/>
      </c>
      <c r="W5">
        <f>HYPERLINK("https://klasma.github.io/Logging_2583/kartor/S 2429-2023 karta.png", "S 2429-2023")</f>
        <v/>
      </c>
      <c r="Y5">
        <f>HYPERLINK("https://klasma.github.io/Logging_2583/klagomål/S 2429-2023 FSC-klagomål.docx", "S 2429-2023")</f>
        <v/>
      </c>
      <c r="Z5">
        <f>HYPERLINK("https://klasma.github.io/Logging_2583/klagomålsmail/S 2429-2023 FSC-klagomål mail.docx", "S 2429-2023")</f>
        <v/>
      </c>
      <c r="AA5">
        <f>HYPERLINK("https://klasma.github.io/Logging_2583/tillsyn/S 2429-2023 tillsynsbegäran.docx", "S 2429-2023")</f>
        <v/>
      </c>
      <c r="AB5">
        <f>HYPERLINK("https://klasma.github.io/Logging_2583/tillsynsmail/S 2429-2023 tillsynsbegäran mail.docx", "S 2429-2023")</f>
        <v/>
      </c>
      <c r="AC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46221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HYPERLINK("https://klasma.github.io/Logging_2583/artfynd/A 63800-2023 artfynd.xlsx", "A 63800-2023")</f>
        <v/>
      </c>
      <c r="W6">
        <f>HYPERLINK("https://klasma.github.io/Logging_2583/kartor/A 63800-2023 karta.png", "A 63800-2023")</f>
        <v/>
      </c>
      <c r="Y6">
        <f>HYPERLINK("https://klasma.github.io/Logging_2583/klagomål/A 63800-2023 FSC-klagomål.docx", "A 63800-2023")</f>
        <v/>
      </c>
      <c r="Z6">
        <f>HYPERLINK("https://klasma.github.io/Logging_2583/klagomålsmail/A 63800-2023 FSC-klagomål mail.docx", "A 63800-2023")</f>
        <v/>
      </c>
      <c r="AA6">
        <f>HYPERLINK("https://klasma.github.io/Logging_2583/tillsyn/A 63800-2023 tillsynsbegäran.docx", "A 63800-2023")</f>
        <v/>
      </c>
      <c r="AB6">
        <f>HYPERLINK("https://klasma.github.io/Logging_2583/tillsynsmail/A 63800-2023 tillsynsbegäran mail.docx", "A 63800-2023")</f>
        <v/>
      </c>
      <c r="AC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46221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Rödvingetrast</t>
        </is>
      </c>
      <c r="V7">
        <f>HYPERLINK("https://klasma.github.io/Logging_2583/artfynd/A 21714-2026 artfynd.xlsx", "A 21714-2026")</f>
        <v/>
      </c>
      <c r="W7">
        <f>HYPERLINK("https://klasma.github.io/Logging_2583/kartor/A 21714-2026 karta.png", "A 21714-2026")</f>
        <v/>
      </c>
      <c r="Y7">
        <f>HYPERLINK("https://klasma.github.io/Logging_2583/klagomål/A 21714-2026 FSC-klagomål.docx", "A 21714-2026")</f>
        <v/>
      </c>
      <c r="Z7">
        <f>HYPERLINK("https://klasma.github.io/Logging_2583/klagomålsmail/A 21714-2026 FSC-klagomål mail.docx", "A 21714-2026")</f>
        <v/>
      </c>
      <c r="AA7">
        <f>HYPERLINK("https://klasma.github.io/Logging_2583/tillsyn/A 21714-2026 tillsynsbegäran.docx", "A 21714-2026")</f>
        <v/>
      </c>
      <c r="AB7">
        <f>HYPERLINK("https://klasma.github.io/Logging_2583/tillsynsmail/A 21714-2026 tillsynsbegäran mail.docx", "A 21714-2026")</f>
        <v/>
      </c>
      <c r="AC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46221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46221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46221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46221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46221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46221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46221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46221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46221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46221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46221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46221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46221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46221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46221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46221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46221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46221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31238-2023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46221</v>
      </c>
      <c r="F28" t="inlineStr">
        <is>
          <t>NORRBOTTENS LÄN</t>
        </is>
      </c>
      <c r="G28" t="inlineStr">
        <is>
          <t>HAPARANDA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58379-2022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44901</v>
      </c>
      <c r="E29" s="1" t="n">
        <v>46221</v>
      </c>
      <c r="F29" t="inlineStr">
        <is>
          <t>NORRBOTTENS LÄN</t>
        </is>
      </c>
      <c r="G29" t="inlineStr">
        <is>
          <t>HAPARANDA</t>
        </is>
      </c>
      <c r="I29" t="n">
        <v>12.1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46221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58953-2024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46221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46221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21979-2023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46221</v>
      </c>
      <c r="F33" t="inlineStr">
        <is>
          <t>NORRBOTTENS LÄN</t>
        </is>
      </c>
      <c r="G33" t="inlineStr">
        <is>
          <t>HAPARANDA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29319-2025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45824</v>
      </c>
      <c r="E34" s="1" t="n">
        <v>46221</v>
      </c>
      <c r="F34" t="inlineStr">
        <is>
          <t>NORRBOTTENS LÄN</t>
        </is>
      </c>
      <c r="G34" t="inlineStr">
        <is>
          <t>HAPARANDA</t>
        </is>
      </c>
      <c r="I34" t="n">
        <v>17.8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40100-2025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46221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46221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9488-2024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46221</v>
      </c>
      <c r="F37" t="inlineStr">
        <is>
          <t>NORRBOTTENS LÄN</t>
        </is>
      </c>
      <c r="G37" t="inlineStr">
        <is>
          <t>HAPARANDA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41946-2025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46221</v>
      </c>
      <c r="F38" t="inlineStr">
        <is>
          <t>NORRBOTTENS LÄN</t>
        </is>
      </c>
      <c r="G38" t="inlineStr">
        <is>
          <t>HAPARANDA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41945-2025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46221</v>
      </c>
      <c r="F39" t="inlineStr">
        <is>
          <t>NORRBOTTENS LÄN</t>
        </is>
      </c>
      <c r="G39" t="inlineStr">
        <is>
          <t>HAPARANDA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32033-2025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46221</v>
      </c>
      <c r="F40" t="inlineStr">
        <is>
          <t>NORRBOTTENS LÄN</t>
        </is>
      </c>
      <c r="G40" t="inlineStr">
        <is>
          <t>HAPARANDA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46221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43003-2023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46221</v>
      </c>
      <c r="F42" t="inlineStr">
        <is>
          <t>NORRBOTTENS LÄN</t>
        </is>
      </c>
      <c r="G42" t="inlineStr">
        <is>
          <t>HAPARANDA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46221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46221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46221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46221</v>
      </c>
      <c r="F46" t="inlineStr">
        <is>
          <t>NORRBOTTENS LÄN</t>
        </is>
      </c>
      <c r="G46" t="inlineStr">
        <is>
          <t>HAPARANDA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59847-2024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45639</v>
      </c>
      <c r="E47" s="1" t="n">
        <v>46221</v>
      </c>
      <c r="F47" t="inlineStr">
        <is>
          <t>NORRBOTTENS LÄN</t>
        </is>
      </c>
      <c r="G47" t="inlineStr">
        <is>
          <t>HAPARANDA</t>
        </is>
      </c>
      <c r="I47" t="n">
        <v>10.3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45936</v>
      </c>
      <c r="E48" s="1" t="n">
        <v>46221</v>
      </c>
      <c r="F48" t="inlineStr">
        <is>
          <t>NORRBOTTENS LÄN</t>
        </is>
      </c>
      <c r="G48" t="inlineStr">
        <is>
          <t>HAPARANDA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57254-2021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46221</v>
      </c>
      <c r="F49" t="inlineStr">
        <is>
          <t>NORRBOTTENS LÄN</t>
        </is>
      </c>
      <c r="G49" t="inlineStr">
        <is>
          <t>HAPARANDA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61068-2024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46221</v>
      </c>
      <c r="F50" t="inlineStr">
        <is>
          <t>NORRBOTTENS LÄN</t>
        </is>
      </c>
      <c r="G50" t="inlineStr">
        <is>
          <t>HAPARANDA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50085-2025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45943</v>
      </c>
      <c r="E51" s="1" t="n">
        <v>46221</v>
      </c>
      <c r="F51" t="inlineStr">
        <is>
          <t>NORRBOTTENS LÄN</t>
        </is>
      </c>
      <c r="G51" t="inlineStr">
        <is>
          <t>HAPARANDA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50450-2025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45945</v>
      </c>
      <c r="E52" s="1" t="n">
        <v>46221</v>
      </c>
      <c r="F52" t="inlineStr">
        <is>
          <t>NORRBOTTENS LÄN</t>
        </is>
      </c>
      <c r="G52" t="inlineStr">
        <is>
          <t>HAPARANDA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50785-2025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46221</v>
      </c>
      <c r="F53" t="inlineStr">
        <is>
          <t>NORRBOTTENS LÄN</t>
        </is>
      </c>
      <c r="G53" t="inlineStr">
        <is>
          <t>HAPARANDA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50793-2025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46221</v>
      </c>
      <c r="F54" t="inlineStr">
        <is>
          <t>NORRBOTTENS LÄN</t>
        </is>
      </c>
      <c r="G54" t="inlineStr">
        <is>
          <t>HAPARANDA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46221</v>
      </c>
      <c r="F55" t="inlineStr">
        <is>
          <t>NORRBOTTENS LÄN</t>
        </is>
      </c>
      <c r="G55" t="inlineStr">
        <is>
          <t>HAPARANDA</t>
        </is>
      </c>
      <c r="H55" t="inlineStr">
        <is>
          <t>Kommuner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52322-2025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46221</v>
      </c>
      <c r="F56" t="inlineStr">
        <is>
          <t>NORRBOTTENS LÄN</t>
        </is>
      </c>
      <c r="G56" t="inlineStr">
        <is>
          <t>HAPARANDA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52331-2025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45953</v>
      </c>
      <c r="E57" s="1" t="n">
        <v>46221</v>
      </c>
      <c r="F57" t="inlineStr">
        <is>
          <t>NORRBOTTENS LÄN</t>
        </is>
      </c>
      <c r="G57" t="inlineStr">
        <is>
          <t>HAPARANDA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10074-2026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46221</v>
      </c>
      <c r="F58" t="inlineStr">
        <is>
          <t>NORRBOTTENS LÄN</t>
        </is>
      </c>
      <c r="G58" t="inlineStr">
        <is>
          <t>HAPARANDA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52192-2023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46221</v>
      </c>
      <c r="F59" t="inlineStr">
        <is>
          <t>NORRBOTTENS LÄN</t>
        </is>
      </c>
      <c r="G59" t="inlineStr">
        <is>
          <t>HAPARANDA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46221</v>
      </c>
      <c r="F60" t="inlineStr">
        <is>
          <t>NORRBOTTENS LÄN</t>
        </is>
      </c>
      <c r="G60" t="inlineStr">
        <is>
          <t>HAPARANDA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46221</v>
      </c>
      <c r="F61" t="inlineStr">
        <is>
          <t>NORRBOTTENS LÄN</t>
        </is>
      </c>
      <c r="G61" t="inlineStr">
        <is>
          <t>HAPARANDA</t>
        </is>
      </c>
      <c r="I61" t="n">
        <v>11.1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55192-2025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46221</v>
      </c>
      <c r="F62" t="inlineStr">
        <is>
          <t>NORRBOTTENS LÄN</t>
        </is>
      </c>
      <c r="G62" t="inlineStr">
        <is>
          <t>HAPARANDA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54856-2025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45966</v>
      </c>
      <c r="E63" s="1" t="n">
        <v>46221</v>
      </c>
      <c r="F63" t="inlineStr">
        <is>
          <t>NORRBOTTENS LÄN</t>
        </is>
      </c>
      <c r="G63" t="inlineStr">
        <is>
          <t>HAPARANDA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45197</v>
      </c>
      <c r="E64" s="1" t="n">
        <v>46221</v>
      </c>
      <c r="F64" t="inlineStr">
        <is>
          <t>NORRBOTTENS LÄN</t>
        </is>
      </c>
      <c r="G64" t="inlineStr">
        <is>
          <t>HAPARANDA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55861-2025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46221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55875-2025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45973</v>
      </c>
      <c r="E66" s="1" t="n">
        <v>46221</v>
      </c>
      <c r="F66" t="inlineStr">
        <is>
          <t>NORRBOTTENS LÄN</t>
        </is>
      </c>
      <c r="G66" t="inlineStr">
        <is>
          <t>HAPARANDA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11285-2022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44629</v>
      </c>
      <c r="E67" s="1" t="n">
        <v>46221</v>
      </c>
      <c r="F67" t="inlineStr">
        <is>
          <t>NORRBOTTENS LÄN</t>
        </is>
      </c>
      <c r="G67" t="inlineStr">
        <is>
          <t>HAPARANDA</t>
        </is>
      </c>
      <c r="I67" t="n">
        <v>13.3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18855-2023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45044</v>
      </c>
      <c r="E68" s="1" t="n">
        <v>46221</v>
      </c>
      <c r="F68" t="inlineStr">
        <is>
          <t>NORRBOTTENS LÄN</t>
        </is>
      </c>
      <c r="G68" t="inlineStr">
        <is>
          <t>HAPARANDA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58624-2025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45986</v>
      </c>
      <c r="E69" s="1" t="n">
        <v>46221</v>
      </c>
      <c r="F69" t="inlineStr">
        <is>
          <t>NORRBOTTENS LÄN</t>
        </is>
      </c>
      <c r="G69" t="inlineStr">
        <is>
          <t>HAPARANDA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58943-2025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46221</v>
      </c>
      <c r="F70" t="inlineStr">
        <is>
          <t>NORRBOTTENS LÄN</t>
        </is>
      </c>
      <c r="G70" t="inlineStr">
        <is>
          <t>HAPARANDA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58851-2025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46221</v>
      </c>
      <c r="F71" t="inlineStr">
        <is>
          <t>NORRBOTTENS LÄN</t>
        </is>
      </c>
      <c r="G71" t="inlineStr">
        <is>
          <t>HAPARANDA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59478-2025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45989</v>
      </c>
      <c r="E72" s="1" t="n">
        <v>46221</v>
      </c>
      <c r="F72" t="inlineStr">
        <is>
          <t>NORRBOTTENS LÄN</t>
        </is>
      </c>
      <c r="G72" t="inlineStr">
        <is>
          <t>HAPARANDA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50257-2021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44458</v>
      </c>
      <c r="E73" s="1" t="n">
        <v>46221</v>
      </c>
      <c r="F73" t="inlineStr">
        <is>
          <t>NORRBOTTENS LÄN</t>
        </is>
      </c>
      <c r="G73" t="inlineStr">
        <is>
          <t>HAPARANDA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38510-2022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46221</v>
      </c>
      <c r="F74" t="inlineStr">
        <is>
          <t>NORRBOTTENS LÄN</t>
        </is>
      </c>
      <c r="G74" t="inlineStr">
        <is>
          <t>HAPARANDA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61607-2025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46221</v>
      </c>
      <c r="F75" t="inlineStr">
        <is>
          <t>NORRBOTTENS LÄN</t>
        </is>
      </c>
      <c r="G75" t="inlineStr">
        <is>
          <t>HAPARANDA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61626-2025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46221</v>
      </c>
      <c r="F76" t="inlineStr">
        <is>
          <t>NORRBOTTENS LÄN</t>
        </is>
      </c>
      <c r="G76" t="inlineStr">
        <is>
          <t>HAPARANDA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49904-2024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46221</v>
      </c>
      <c r="F77" t="inlineStr">
        <is>
          <t>NORRBOTTENS LÄN</t>
        </is>
      </c>
      <c r="G77" t="inlineStr">
        <is>
          <t>HAPARANDA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61609-2025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46221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61623-2025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46221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62326-2025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46221</v>
      </c>
      <c r="F80" t="inlineStr">
        <is>
          <t>NORRBOTTENS LÄN</t>
        </is>
      </c>
      <c r="G80" t="inlineStr">
        <is>
          <t>HAPARANDA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46221</v>
      </c>
      <c r="F81" t="inlineStr">
        <is>
          <t>NORRBOTTENS LÄN</t>
        </is>
      </c>
      <c r="G81" t="inlineStr">
        <is>
          <t>HAPARANDA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62387-2025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46221</v>
      </c>
      <c r="F82" t="inlineStr">
        <is>
          <t>NORRBOTTENS LÄN</t>
        </is>
      </c>
      <c r="G82" t="inlineStr">
        <is>
          <t>HAPARANDA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62543-2025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46221</v>
      </c>
      <c r="F83" t="inlineStr">
        <is>
          <t>NORRBOTTENS LÄN</t>
        </is>
      </c>
      <c r="G83" t="inlineStr">
        <is>
          <t>HAPARANDA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46221</v>
      </c>
      <c r="F84" t="inlineStr">
        <is>
          <t>NORRBOTTENS LÄN</t>
        </is>
      </c>
      <c r="G84" t="inlineStr">
        <is>
          <t>HAPARANDA</t>
        </is>
      </c>
      <c r="I84" t="n">
        <v>10.2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62785-2025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46221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62896-2025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46221</v>
      </c>
      <c r="F86" t="inlineStr">
        <is>
          <t>NORRBOTTENS LÄN</t>
        </is>
      </c>
      <c r="G86" t="inlineStr">
        <is>
          <t>HAPARANDA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1446-2024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45303</v>
      </c>
      <c r="E87" s="1" t="n">
        <v>46221</v>
      </c>
      <c r="F87" t="inlineStr">
        <is>
          <t>NORRBOTTENS LÄN</t>
        </is>
      </c>
      <c r="G87" t="inlineStr">
        <is>
          <t>HAPARANDA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10735-2024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46221</v>
      </c>
      <c r="F88" t="inlineStr">
        <is>
          <t>NORRBOTTENS LÄN</t>
        </is>
      </c>
      <c r="G88" t="inlineStr">
        <is>
          <t>HAPARANDA</t>
        </is>
      </c>
      <c r="I88" t="n">
        <v>12.4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3498-2023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44949</v>
      </c>
      <c r="E89" s="1" t="n">
        <v>46221</v>
      </c>
      <c r="F89" t="inlineStr">
        <is>
          <t>NORRBOTTENS LÄN</t>
        </is>
      </c>
      <c r="G89" t="inlineStr">
        <is>
          <t>HAPARANDA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63367-2025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46221</v>
      </c>
      <c r="F90" t="inlineStr">
        <is>
          <t>NORRBOTTENS LÄN</t>
        </is>
      </c>
      <c r="G90" t="inlineStr">
        <is>
          <t>HAPARANDA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63219-2021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44508</v>
      </c>
      <c r="E91" s="1" t="n">
        <v>46221</v>
      </c>
      <c r="F91" t="inlineStr">
        <is>
          <t>NORRBOTTENS LÄN</t>
        </is>
      </c>
      <c r="G91" t="inlineStr">
        <is>
          <t>HAPARANDA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34980-2023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45142</v>
      </c>
      <c r="E92" s="1" t="n">
        <v>46221</v>
      </c>
      <c r="F92" t="inlineStr">
        <is>
          <t>NORRBOTTENS LÄN</t>
        </is>
      </c>
      <c r="G92" t="inlineStr">
        <is>
          <t>HAPARANDA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46221</v>
      </c>
      <c r="F93" t="inlineStr">
        <is>
          <t>NORRBOTTENS LÄN</t>
        </is>
      </c>
      <c r="G93" t="inlineStr">
        <is>
          <t>HAPARANDA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51376-2024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46221</v>
      </c>
      <c r="F94" t="inlineStr">
        <is>
          <t>NORRBOTTENS LÄN</t>
        </is>
      </c>
      <c r="G94" t="inlineStr">
        <is>
          <t>HAPARANDA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61161-2022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44908</v>
      </c>
      <c r="E95" s="1" t="n">
        <v>46221</v>
      </c>
      <c r="F95" t="inlineStr">
        <is>
          <t>NORRBOTTENS LÄN</t>
        </is>
      </c>
      <c r="G95" t="inlineStr">
        <is>
          <t>HAPARANDA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44957</v>
      </c>
      <c r="E96" s="1" t="n">
        <v>46221</v>
      </c>
      <c r="F96" t="inlineStr">
        <is>
          <t>NORRBOTTENS LÄN</t>
        </is>
      </c>
      <c r="G96" t="inlineStr">
        <is>
          <t>HAPARANDA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49907-2024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46221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17564-2024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46221</v>
      </c>
      <c r="F98" t="inlineStr">
        <is>
          <t>NORRBOTTENS LÄN</t>
        </is>
      </c>
      <c r="G98" t="inlineStr">
        <is>
          <t>HAPARANDA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18413-2026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46126</v>
      </c>
      <c r="E99" s="1" t="n">
        <v>46221</v>
      </c>
      <c r="F99" t="inlineStr">
        <is>
          <t>NORRBOTTENS LÄN</t>
        </is>
      </c>
      <c r="G99" t="inlineStr">
        <is>
          <t>HAPARANDA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19135-2026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46132</v>
      </c>
      <c r="E100" s="1" t="n">
        <v>46221</v>
      </c>
      <c r="F100" t="inlineStr">
        <is>
          <t>NORRBOTTENS LÄN</t>
        </is>
      </c>
      <c r="G100" t="inlineStr">
        <is>
          <t>HAPARANDA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33439-2023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45129</v>
      </c>
      <c r="E101" s="1" t="n">
        <v>46221</v>
      </c>
      <c r="F101" t="inlineStr">
        <is>
          <t>NORRBOTTENS LÄN</t>
        </is>
      </c>
      <c r="G101" t="inlineStr">
        <is>
          <t>HAPARANDA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8836-2024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46221</v>
      </c>
      <c r="F102" t="inlineStr">
        <is>
          <t>NORRBOTTENS LÄN</t>
        </is>
      </c>
      <c r="G102" t="inlineStr">
        <is>
          <t>HAPARANDA</t>
        </is>
      </c>
      <c r="I102" t="n">
        <v>27.1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58950-2024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45636</v>
      </c>
      <c r="E103" s="1" t="n">
        <v>46221</v>
      </c>
      <c r="F103" t="inlineStr">
        <is>
          <t>NORRBOTTENS LÄN</t>
        </is>
      </c>
      <c r="G103" t="inlineStr">
        <is>
          <t>HAPARANDA</t>
        </is>
      </c>
      <c r="I103" t="n">
        <v>18.6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46221</v>
      </c>
      <c r="F104" t="inlineStr">
        <is>
          <t>NORRBOTTENS LÄN</t>
        </is>
      </c>
      <c r="G104" t="inlineStr">
        <is>
          <t>HAPARANDA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58981-2024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46221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63369-2025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46221</v>
      </c>
      <c r="F106" t="inlineStr">
        <is>
          <t>NORRBOTTENS LÄN</t>
        </is>
      </c>
      <c r="G106" t="inlineStr">
        <is>
          <t>HAPARANDA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31242-2023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46221</v>
      </c>
      <c r="F107" t="inlineStr">
        <is>
          <t>NORRBOTTENS LÄN</t>
        </is>
      </c>
      <c r="G107" t="inlineStr">
        <is>
          <t>HAPARANDA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23982-2023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45078</v>
      </c>
      <c r="E108" s="1" t="n">
        <v>46221</v>
      </c>
      <c r="F108" t="inlineStr">
        <is>
          <t>NORRBOTTENS LÄN</t>
        </is>
      </c>
      <c r="G108" t="inlineStr">
        <is>
          <t>HAPARANDA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36766-2025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45873</v>
      </c>
      <c r="E109" s="1" t="n">
        <v>46221</v>
      </c>
      <c r="F109" t="inlineStr">
        <is>
          <t>NORRBOTTENS LÄN</t>
        </is>
      </c>
      <c r="G109" t="inlineStr">
        <is>
          <t>HAPARANDA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3631-2022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46221</v>
      </c>
      <c r="F110" t="inlineStr">
        <is>
          <t>NORRBOTTENS LÄN</t>
        </is>
      </c>
      <c r="G110" t="inlineStr">
        <is>
          <t>HAPARANDA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9745-2025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46221</v>
      </c>
      <c r="F111" t="inlineStr">
        <is>
          <t>NORRBOTTENS LÄN</t>
        </is>
      </c>
      <c r="G111" t="inlineStr">
        <is>
          <t>HAPARANDA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61075-2024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45645</v>
      </c>
      <c r="E112" s="1" t="n">
        <v>46221</v>
      </c>
      <c r="F112" t="inlineStr">
        <is>
          <t>NORRBOTTENS LÄN</t>
        </is>
      </c>
      <c r="G112" t="inlineStr">
        <is>
          <t>HAPARANDA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42547-2023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45181</v>
      </c>
      <c r="E113" s="1" t="n">
        <v>46221</v>
      </c>
      <c r="F113" t="inlineStr">
        <is>
          <t>NORRBOTTENS LÄN</t>
        </is>
      </c>
      <c r="G113" t="inlineStr">
        <is>
          <t>HAPARANDA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53257-2023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46221</v>
      </c>
      <c r="F114" t="inlineStr">
        <is>
          <t>NORRBOTTENS LÄN</t>
        </is>
      </c>
      <c r="G114" t="inlineStr">
        <is>
          <t>HAPARANDA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60214-2024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46221</v>
      </c>
      <c r="F115" t="inlineStr">
        <is>
          <t>NORRBOTTENS LÄN</t>
        </is>
      </c>
      <c r="G115" t="inlineStr">
        <is>
          <t>HAPARANDA</t>
        </is>
      </c>
      <c r="I115" t="n">
        <v>11.7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60219-2024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46221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46305-2023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46221</v>
      </c>
      <c r="F117" t="inlineStr">
        <is>
          <t>NORRBOTTENS LÄN</t>
        </is>
      </c>
      <c r="G117" t="inlineStr">
        <is>
          <t>HAPARANDA</t>
        </is>
      </c>
      <c r="I117" t="n">
        <v>14.9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48630-2023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46221</v>
      </c>
      <c r="F118" t="inlineStr">
        <is>
          <t>NORRBOTTENS LÄN</t>
        </is>
      </c>
      <c r="G118" t="inlineStr">
        <is>
          <t>HAPARANDA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46221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21179-2026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46221</v>
      </c>
      <c r="F120" t="inlineStr">
        <is>
          <t>NORRBOTTENS LÄN</t>
        </is>
      </c>
      <c r="G120" t="inlineStr">
        <is>
          <t>HAPARANDA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21205-2026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46146</v>
      </c>
      <c r="E121" s="1" t="n">
        <v>46221</v>
      </c>
      <c r="F121" t="inlineStr">
        <is>
          <t>NORRBOTTENS LÄN</t>
        </is>
      </c>
      <c r="G121" t="inlineStr">
        <is>
          <t>HAPARANDA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64139-2023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45279</v>
      </c>
      <c r="E122" s="1" t="n">
        <v>46221</v>
      </c>
      <c r="F122" t="inlineStr">
        <is>
          <t>NORRBOTTENS LÄN</t>
        </is>
      </c>
      <c r="G122" t="inlineStr">
        <is>
          <t>HAPARANDA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9738-2025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46221</v>
      </c>
      <c r="F123" t="inlineStr">
        <is>
          <t>NORRBOTTENS LÄN</t>
        </is>
      </c>
      <c r="G123" t="inlineStr">
        <is>
          <t>HAPARANDA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9739-2025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46221</v>
      </c>
      <c r="F124" t="inlineStr">
        <is>
          <t>NORRBOTTENS LÄN</t>
        </is>
      </c>
      <c r="G124" t="inlineStr">
        <is>
          <t>HAPARANDA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22352-2026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46221</v>
      </c>
      <c r="F125" t="inlineStr">
        <is>
          <t>NORRBOTTENS LÄN</t>
        </is>
      </c>
      <c r="G125" t="inlineStr">
        <is>
          <t>HAPARANDA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46221</v>
      </c>
      <c r="F126" t="inlineStr">
        <is>
          <t>NORRBOTTENS LÄN</t>
        </is>
      </c>
      <c r="G126" t="inlineStr">
        <is>
          <t>HAPARANDA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60928-2022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44907</v>
      </c>
      <c r="E127" s="1" t="n">
        <v>46221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61570-2023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46221</v>
      </c>
      <c r="F128" t="inlineStr">
        <is>
          <t>NORRBOTTENS LÄN</t>
        </is>
      </c>
      <c r="G128" t="inlineStr">
        <is>
          <t>HAPARANDA</t>
        </is>
      </c>
      <c r="I128" t="n">
        <v>9.199999999999999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33728-2024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45520</v>
      </c>
      <c r="E129" s="1" t="n">
        <v>46221</v>
      </c>
      <c r="F129" t="inlineStr">
        <is>
          <t>NORRBOTTENS LÄN</t>
        </is>
      </c>
      <c r="G129" t="inlineStr">
        <is>
          <t>HAPARANDA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46221</v>
      </c>
      <c r="F130" t="inlineStr">
        <is>
          <t>NORRBOTTENS LÄN</t>
        </is>
      </c>
      <c r="G130" t="inlineStr">
        <is>
          <t>HAPARANDA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22512-2026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46155</v>
      </c>
      <c r="E131" s="1" t="n">
        <v>46221</v>
      </c>
      <c r="F131" t="inlineStr">
        <is>
          <t>NORRBOTTENS LÄN</t>
        </is>
      </c>
      <c r="G131" t="inlineStr">
        <is>
          <t>HAPARANDA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29093-2026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46200</v>
      </c>
      <c r="E132" s="1" t="n">
        <v>46221</v>
      </c>
      <c r="F132" t="inlineStr">
        <is>
          <t>NORRBOTTENS LÄN</t>
        </is>
      </c>
      <c r="G132" t="inlineStr">
        <is>
          <t>HAPARANDA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46221</v>
      </c>
      <c r="F133" t="inlineStr">
        <is>
          <t>NORRBOTTENS LÄN</t>
        </is>
      </c>
      <c r="G133" t="inlineStr">
        <is>
          <t>HAPARANDA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49902-2024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45597</v>
      </c>
      <c r="E134" s="1" t="n">
        <v>46221</v>
      </c>
      <c r="F134" t="inlineStr">
        <is>
          <t>NORRBOTTENS LÄN</t>
        </is>
      </c>
      <c r="G134" t="inlineStr">
        <is>
          <t>HAPARANDA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52000-2021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44463</v>
      </c>
      <c r="E135" s="1" t="n">
        <v>46221</v>
      </c>
      <c r="F135" t="inlineStr">
        <is>
          <t>NORRBOTTENS LÄN</t>
        </is>
      </c>
      <c r="G135" t="inlineStr">
        <is>
          <t>HAPARANDA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23484-2023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45076</v>
      </c>
      <c r="E136" s="1" t="n">
        <v>46221</v>
      </c>
      <c r="F136" t="inlineStr">
        <is>
          <t>NORRBOTTENS LÄN</t>
        </is>
      </c>
      <c r="G136" t="inlineStr">
        <is>
          <t>HAPARANDA</t>
        </is>
      </c>
      <c r="I136" t="n">
        <v>10.5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31236-2023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46221</v>
      </c>
      <c r="F137" t="inlineStr">
        <is>
          <t>NORRBOTTENS LÄN</t>
        </is>
      </c>
      <c r="G137" t="inlineStr">
        <is>
          <t>HAPARANDA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56356-2025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46221</v>
      </c>
      <c r="F138" t="inlineStr">
        <is>
          <t>NORRBOTTENS LÄN</t>
        </is>
      </c>
      <c r="G138" t="inlineStr">
        <is>
          <t>HAPARANDA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59686-2023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45256</v>
      </c>
      <c r="E139" s="1" t="n">
        <v>46221</v>
      </c>
      <c r="F139" t="inlineStr">
        <is>
          <t>NORRBOTTENS LÄN</t>
        </is>
      </c>
      <c r="G139" t="inlineStr">
        <is>
          <t>HAPARANDA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46221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63368-2025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46009</v>
      </c>
      <c r="E141" s="1" t="n">
        <v>46221</v>
      </c>
      <c r="F141" t="inlineStr">
        <is>
          <t>NORRBOTTENS LÄN</t>
        </is>
      </c>
      <c r="G141" t="inlineStr">
        <is>
          <t>HAPARANDA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25164-2024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46221</v>
      </c>
      <c r="F142" t="inlineStr">
        <is>
          <t>NORRBOTTENS LÄN</t>
        </is>
      </c>
      <c r="G142" t="inlineStr">
        <is>
          <t>HAPARANDA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56374-2025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46221</v>
      </c>
      <c r="F143" t="inlineStr">
        <is>
          <t>NORRBOTTENS LÄN</t>
        </is>
      </c>
      <c r="G143" t="inlineStr">
        <is>
          <t>HAPARANDA</t>
        </is>
      </c>
      <c r="I143" t="n">
        <v>15.3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60217-2024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46221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18652-2024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46221</v>
      </c>
      <c r="F145" t="inlineStr">
        <is>
          <t>NORRBOTTENS LÄN</t>
        </is>
      </c>
      <c r="G145" t="inlineStr">
        <is>
          <t>HAPARANDA</t>
        </is>
      </c>
      <c r="H145" t="inlineStr">
        <is>
          <t>Kommuner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46221</v>
      </c>
      <c r="F146" t="inlineStr">
        <is>
          <t>NORRBOTTENS LÄN</t>
        </is>
      </c>
      <c r="G146" t="inlineStr">
        <is>
          <t>HAPARANDA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6806-2025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46221</v>
      </c>
      <c r="F147" t="inlineStr">
        <is>
          <t>NORRBOTTENS LÄN</t>
        </is>
      </c>
      <c r="G147" t="inlineStr">
        <is>
          <t>HAPARANDA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16030-2024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46221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16035-2024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46221</v>
      </c>
      <c r="F149" t="inlineStr">
        <is>
          <t>NORRBOTTENS LÄN</t>
        </is>
      </c>
      <c r="G149" t="inlineStr">
        <is>
          <t>HAPARANDA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53290-2023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46221</v>
      </c>
      <c r="F150" t="inlineStr">
        <is>
          <t>NORRBOTTENS LÄN</t>
        </is>
      </c>
      <c r="G150" t="inlineStr">
        <is>
          <t>HAPARANDA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30141-2023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45099</v>
      </c>
      <c r="E151" s="1" t="n">
        <v>46221</v>
      </c>
      <c r="F151" t="inlineStr">
        <is>
          <t>NORRBOTTENS LÄN</t>
        </is>
      </c>
      <c r="G151" t="inlineStr">
        <is>
          <t>HAPARANDA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52735-2024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45610</v>
      </c>
      <c r="E152" s="1" t="n">
        <v>46221</v>
      </c>
      <c r="F152" t="inlineStr">
        <is>
          <t>NORRBOTTENS LÄN</t>
        </is>
      </c>
      <c r="G152" t="inlineStr">
        <is>
          <t>HAPARANDA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46221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20727-2025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46221</v>
      </c>
      <c r="F154" t="inlineStr">
        <is>
          <t>NORRBOTTENS LÄN</t>
        </is>
      </c>
      <c r="G154" t="inlineStr">
        <is>
          <t>HAPARANDA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46221</v>
      </c>
      <c r="F155" t="inlineStr">
        <is>
          <t>NORRBOTTENS LÄN</t>
        </is>
      </c>
      <c r="G155" t="inlineStr">
        <is>
          <t>HAPARANDA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22703-2025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46221</v>
      </c>
      <c r="F156" t="inlineStr">
        <is>
          <t>NORRBOTTENS LÄN</t>
        </is>
      </c>
      <c r="G156" t="inlineStr">
        <is>
          <t>HAPARANDA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22697-2025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46221</v>
      </c>
      <c r="F157" t="inlineStr">
        <is>
          <t>NORRBOTTENS LÄN</t>
        </is>
      </c>
      <c r="G157" t="inlineStr">
        <is>
          <t>HAPARANDA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24120-2025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46221</v>
      </c>
      <c r="F158" t="inlineStr">
        <is>
          <t>NORRBOTTENS LÄN</t>
        </is>
      </c>
      <c r="G158" t="inlineStr">
        <is>
          <t>HAPARANDA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49007-2023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46221</v>
      </c>
      <c r="F159" t="inlineStr">
        <is>
          <t>NORRBOTTENS LÄN</t>
        </is>
      </c>
      <c r="G159" t="inlineStr">
        <is>
          <t>HAPARANDA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45575-2024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46221</v>
      </c>
      <c r="F160" t="inlineStr">
        <is>
          <t>NORRBOTTENS LÄN</t>
        </is>
      </c>
      <c r="G160" t="inlineStr">
        <is>
          <t>HAPARANDA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46221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2026-07-18T01:21:30Z</dcterms:created>
  <dcterms:modified xmlns:dcterms="http://purl.org/dc/terms/" xmlns:xsi="http://www.w3.org/2001/XMLSchema-instance" xsi:type="dcterms:W3CDTF">2026-07-18T01:21:30Z</dcterms:modified>
</cp:coreProperties>
</file>